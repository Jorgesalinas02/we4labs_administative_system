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8"/>
  <workbookPr/>
  <mc:AlternateContent xmlns:mc="http://schemas.openxmlformats.org/markup-compatibility/2006">
    <mc:Choice Requires="x15">
      <x15ac:absPath xmlns:x15ac="http://schemas.microsoft.com/office/spreadsheetml/2010/11/ac" url="/Users/jorgesalinas/Desktop/Proyectos/we4labs_sistema_administrativo/Material/"/>
    </mc:Choice>
  </mc:AlternateContent>
  <xr:revisionPtr revIDLastSave="0" documentId="13_ncr:1_{C16F02EA-07C1-8041-85A1-375922B510EF}" xr6:coauthVersionLast="47" xr6:coauthVersionMax="47" xr10:uidLastSave="{00000000-0000-0000-0000-000000000000}"/>
  <bookViews>
    <workbookView xWindow="0" yWindow="600" windowWidth="28800" windowHeight="15880" tabRatio="500" activeTab="3" xr2:uid="{00000000-000D-0000-FFFF-FFFF00000000}"/>
  </bookViews>
  <sheets>
    <sheet name="Supuestos" sheetId="1" r:id="rId1"/>
    <sheet name="Flujo de Caja" sheetId="2" r:id="rId2"/>
    <sheet name="Dashboard" sheetId="3" r:id="rId3"/>
    <sheet name="Calendario Tributario" sheetId="4" r:id="rId4"/>
    <sheet name="Control de Cartera" sheetId="5" r:id="rId5"/>
  </sheets>
  <definedNames>
    <definedName name="_xlnm.Print_Area" localSheetId="0">Supuestos!$A$1:$D$36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J10" i="5" l="1"/>
  <c r="I10" i="5"/>
  <c r="P209" i="5"/>
  <c r="N209" i="5"/>
  <c r="O209" i="5" s="1"/>
  <c r="L209" i="5"/>
  <c r="K209" i="5"/>
  <c r="J209" i="5"/>
  <c r="I209" i="5"/>
  <c r="P208" i="5"/>
  <c r="N208" i="5"/>
  <c r="O208" i="5" s="1"/>
  <c r="L208" i="5"/>
  <c r="K208" i="5"/>
  <c r="J208" i="5"/>
  <c r="I208" i="5"/>
  <c r="P207" i="5"/>
  <c r="N207" i="5"/>
  <c r="O207" i="5" s="1"/>
  <c r="L207" i="5"/>
  <c r="K207" i="5"/>
  <c r="J207" i="5"/>
  <c r="I207" i="5"/>
  <c r="P206" i="5"/>
  <c r="N206" i="5"/>
  <c r="O206" i="5" s="1"/>
  <c r="L206" i="5"/>
  <c r="K206" i="5"/>
  <c r="J206" i="5"/>
  <c r="I206" i="5"/>
  <c r="P205" i="5"/>
  <c r="N205" i="5"/>
  <c r="O205" i="5" s="1"/>
  <c r="L205" i="5"/>
  <c r="K205" i="5"/>
  <c r="J205" i="5"/>
  <c r="I205" i="5"/>
  <c r="P204" i="5"/>
  <c r="N204" i="5"/>
  <c r="O204" i="5" s="1"/>
  <c r="L204" i="5"/>
  <c r="K204" i="5"/>
  <c r="J204" i="5"/>
  <c r="I204" i="5"/>
  <c r="P203" i="5"/>
  <c r="N203" i="5"/>
  <c r="O203" i="5" s="1"/>
  <c r="L203" i="5"/>
  <c r="K203" i="5"/>
  <c r="J203" i="5"/>
  <c r="I203" i="5"/>
  <c r="P202" i="5"/>
  <c r="O202" i="5"/>
  <c r="N202" i="5"/>
  <c r="L202" i="5"/>
  <c r="K202" i="5"/>
  <c r="J202" i="5"/>
  <c r="I202" i="5"/>
  <c r="P201" i="5"/>
  <c r="N201" i="5"/>
  <c r="O201" i="5" s="1"/>
  <c r="L201" i="5"/>
  <c r="K201" i="5"/>
  <c r="J201" i="5"/>
  <c r="I201" i="5"/>
  <c r="P200" i="5"/>
  <c r="O200" i="5"/>
  <c r="N200" i="5"/>
  <c r="L200" i="5"/>
  <c r="K200" i="5"/>
  <c r="J200" i="5"/>
  <c r="I200" i="5"/>
  <c r="P199" i="5"/>
  <c r="O199" i="5"/>
  <c r="N199" i="5"/>
  <c r="L199" i="5"/>
  <c r="K199" i="5"/>
  <c r="J199" i="5"/>
  <c r="I199" i="5"/>
  <c r="P198" i="5"/>
  <c r="N198" i="5"/>
  <c r="O198" i="5" s="1"/>
  <c r="L198" i="5"/>
  <c r="K198" i="5"/>
  <c r="J198" i="5"/>
  <c r="I198" i="5"/>
  <c r="P197" i="5"/>
  <c r="N197" i="5"/>
  <c r="O197" i="5" s="1"/>
  <c r="L197" i="5"/>
  <c r="K197" i="5"/>
  <c r="J197" i="5"/>
  <c r="I197" i="5"/>
  <c r="P196" i="5"/>
  <c r="N196" i="5"/>
  <c r="O196" i="5" s="1"/>
  <c r="L196" i="5"/>
  <c r="K196" i="5"/>
  <c r="J196" i="5"/>
  <c r="I196" i="5"/>
  <c r="P195" i="5"/>
  <c r="N195" i="5"/>
  <c r="O195" i="5" s="1"/>
  <c r="L195" i="5"/>
  <c r="K195" i="5"/>
  <c r="J195" i="5"/>
  <c r="I195" i="5"/>
  <c r="P194" i="5"/>
  <c r="O194" i="5"/>
  <c r="N194" i="5"/>
  <c r="L194" i="5"/>
  <c r="K194" i="5"/>
  <c r="J194" i="5"/>
  <c r="I194" i="5"/>
  <c r="P193" i="5"/>
  <c r="N193" i="5"/>
  <c r="O193" i="5" s="1"/>
  <c r="L193" i="5"/>
  <c r="K193" i="5"/>
  <c r="J193" i="5"/>
  <c r="I193" i="5"/>
  <c r="P192" i="5"/>
  <c r="O192" i="5"/>
  <c r="N192" i="5"/>
  <c r="L192" i="5"/>
  <c r="K192" i="5"/>
  <c r="J192" i="5"/>
  <c r="I192" i="5"/>
  <c r="P191" i="5"/>
  <c r="O191" i="5"/>
  <c r="N191" i="5"/>
  <c r="L191" i="5"/>
  <c r="K191" i="5"/>
  <c r="J191" i="5"/>
  <c r="I191" i="5"/>
  <c r="P190" i="5"/>
  <c r="N190" i="5"/>
  <c r="O190" i="5" s="1"/>
  <c r="L190" i="5"/>
  <c r="K190" i="5"/>
  <c r="J190" i="5"/>
  <c r="I190" i="5"/>
  <c r="P189" i="5"/>
  <c r="N189" i="5"/>
  <c r="O189" i="5" s="1"/>
  <c r="L189" i="5"/>
  <c r="K189" i="5"/>
  <c r="J189" i="5"/>
  <c r="I189" i="5"/>
  <c r="P188" i="5"/>
  <c r="O188" i="5"/>
  <c r="N188" i="5"/>
  <c r="L188" i="5"/>
  <c r="K188" i="5"/>
  <c r="J188" i="5"/>
  <c r="I188" i="5"/>
  <c r="P187" i="5"/>
  <c r="N187" i="5"/>
  <c r="O187" i="5" s="1"/>
  <c r="L187" i="5"/>
  <c r="K187" i="5"/>
  <c r="J187" i="5"/>
  <c r="I187" i="5"/>
  <c r="P186" i="5"/>
  <c r="O186" i="5"/>
  <c r="N186" i="5"/>
  <c r="L186" i="5"/>
  <c r="K186" i="5"/>
  <c r="J186" i="5"/>
  <c r="I186" i="5"/>
  <c r="P185" i="5"/>
  <c r="N185" i="5"/>
  <c r="O185" i="5" s="1"/>
  <c r="L185" i="5"/>
  <c r="K185" i="5"/>
  <c r="J185" i="5"/>
  <c r="I185" i="5"/>
  <c r="P184" i="5"/>
  <c r="O184" i="5"/>
  <c r="N184" i="5"/>
  <c r="L184" i="5"/>
  <c r="K184" i="5"/>
  <c r="J184" i="5"/>
  <c r="I184" i="5"/>
  <c r="P183" i="5"/>
  <c r="O183" i="5"/>
  <c r="N183" i="5"/>
  <c r="L183" i="5"/>
  <c r="K183" i="5"/>
  <c r="J183" i="5"/>
  <c r="I183" i="5"/>
  <c r="P182" i="5"/>
  <c r="N182" i="5"/>
  <c r="O182" i="5" s="1"/>
  <c r="L182" i="5"/>
  <c r="K182" i="5"/>
  <c r="J182" i="5"/>
  <c r="I182" i="5"/>
  <c r="P181" i="5"/>
  <c r="N181" i="5"/>
  <c r="O181" i="5" s="1"/>
  <c r="L181" i="5"/>
  <c r="K181" i="5"/>
  <c r="J181" i="5"/>
  <c r="I181" i="5"/>
  <c r="P180" i="5"/>
  <c r="O180" i="5"/>
  <c r="N180" i="5"/>
  <c r="L180" i="5"/>
  <c r="K180" i="5"/>
  <c r="J180" i="5"/>
  <c r="I180" i="5"/>
  <c r="P179" i="5"/>
  <c r="N179" i="5"/>
  <c r="O179" i="5" s="1"/>
  <c r="L179" i="5"/>
  <c r="K179" i="5"/>
  <c r="J179" i="5"/>
  <c r="I179" i="5"/>
  <c r="P178" i="5"/>
  <c r="O178" i="5"/>
  <c r="N178" i="5"/>
  <c r="L178" i="5"/>
  <c r="K178" i="5"/>
  <c r="J178" i="5"/>
  <c r="I178" i="5"/>
  <c r="P177" i="5"/>
  <c r="N177" i="5"/>
  <c r="O177" i="5" s="1"/>
  <c r="L177" i="5"/>
  <c r="K177" i="5"/>
  <c r="J177" i="5"/>
  <c r="I177" i="5"/>
  <c r="P176" i="5"/>
  <c r="O176" i="5"/>
  <c r="N176" i="5"/>
  <c r="L176" i="5"/>
  <c r="K176" i="5"/>
  <c r="J176" i="5"/>
  <c r="I176" i="5"/>
  <c r="P175" i="5"/>
  <c r="O175" i="5"/>
  <c r="N175" i="5"/>
  <c r="L175" i="5"/>
  <c r="K175" i="5"/>
  <c r="J175" i="5"/>
  <c r="I175" i="5"/>
  <c r="P174" i="5"/>
  <c r="N174" i="5"/>
  <c r="O174" i="5" s="1"/>
  <c r="L174" i="5"/>
  <c r="K174" i="5"/>
  <c r="J174" i="5"/>
  <c r="I174" i="5"/>
  <c r="P173" i="5"/>
  <c r="N173" i="5"/>
  <c r="O173" i="5" s="1"/>
  <c r="L173" i="5"/>
  <c r="K173" i="5"/>
  <c r="J173" i="5"/>
  <c r="I173" i="5"/>
  <c r="P172" i="5"/>
  <c r="O172" i="5"/>
  <c r="N172" i="5"/>
  <c r="L172" i="5"/>
  <c r="K172" i="5"/>
  <c r="J172" i="5"/>
  <c r="I172" i="5"/>
  <c r="P171" i="5"/>
  <c r="N171" i="5"/>
  <c r="O171" i="5" s="1"/>
  <c r="L171" i="5"/>
  <c r="K171" i="5"/>
  <c r="J171" i="5"/>
  <c r="I171" i="5"/>
  <c r="P170" i="5"/>
  <c r="O170" i="5"/>
  <c r="N170" i="5"/>
  <c r="L170" i="5"/>
  <c r="K170" i="5"/>
  <c r="J170" i="5"/>
  <c r="I170" i="5"/>
  <c r="P169" i="5"/>
  <c r="N169" i="5"/>
  <c r="O169" i="5" s="1"/>
  <c r="L169" i="5"/>
  <c r="K169" i="5"/>
  <c r="J169" i="5"/>
  <c r="I169" i="5"/>
  <c r="P168" i="5"/>
  <c r="O168" i="5"/>
  <c r="N168" i="5"/>
  <c r="L168" i="5"/>
  <c r="K168" i="5"/>
  <c r="J168" i="5"/>
  <c r="I168" i="5"/>
  <c r="P167" i="5"/>
  <c r="O167" i="5"/>
  <c r="N167" i="5"/>
  <c r="L167" i="5"/>
  <c r="K167" i="5"/>
  <c r="J167" i="5"/>
  <c r="I167" i="5"/>
  <c r="P166" i="5"/>
  <c r="N166" i="5"/>
  <c r="O166" i="5" s="1"/>
  <c r="L166" i="5"/>
  <c r="K166" i="5"/>
  <c r="J166" i="5"/>
  <c r="I166" i="5"/>
  <c r="P165" i="5"/>
  <c r="N165" i="5"/>
  <c r="O165" i="5" s="1"/>
  <c r="L165" i="5"/>
  <c r="K165" i="5"/>
  <c r="J165" i="5"/>
  <c r="I165" i="5"/>
  <c r="P164" i="5"/>
  <c r="O164" i="5"/>
  <c r="N164" i="5"/>
  <c r="L164" i="5"/>
  <c r="K164" i="5"/>
  <c r="J164" i="5"/>
  <c r="I164" i="5"/>
  <c r="P163" i="5"/>
  <c r="N163" i="5"/>
  <c r="O163" i="5" s="1"/>
  <c r="L163" i="5"/>
  <c r="K163" i="5"/>
  <c r="J163" i="5"/>
  <c r="I163" i="5"/>
  <c r="P162" i="5"/>
  <c r="N162" i="5"/>
  <c r="O162" i="5" s="1"/>
  <c r="L162" i="5"/>
  <c r="K162" i="5"/>
  <c r="J162" i="5"/>
  <c r="I162" i="5"/>
  <c r="P161" i="5"/>
  <c r="N161" i="5"/>
  <c r="O161" i="5" s="1"/>
  <c r="L161" i="5"/>
  <c r="K161" i="5"/>
  <c r="J161" i="5"/>
  <c r="I161" i="5"/>
  <c r="P160" i="5"/>
  <c r="O160" i="5"/>
  <c r="N160" i="5"/>
  <c r="L160" i="5"/>
  <c r="K160" i="5"/>
  <c r="J160" i="5"/>
  <c r="I160" i="5"/>
  <c r="P159" i="5"/>
  <c r="O159" i="5"/>
  <c r="N159" i="5"/>
  <c r="L159" i="5"/>
  <c r="K159" i="5"/>
  <c r="J159" i="5"/>
  <c r="I159" i="5"/>
  <c r="P158" i="5"/>
  <c r="N158" i="5"/>
  <c r="O158" i="5" s="1"/>
  <c r="L158" i="5"/>
  <c r="K158" i="5"/>
  <c r="J158" i="5"/>
  <c r="I158" i="5"/>
  <c r="P157" i="5"/>
  <c r="N157" i="5"/>
  <c r="O157" i="5" s="1"/>
  <c r="L157" i="5"/>
  <c r="K157" i="5"/>
  <c r="J157" i="5"/>
  <c r="I157" i="5"/>
  <c r="P156" i="5"/>
  <c r="O156" i="5"/>
  <c r="N156" i="5"/>
  <c r="L156" i="5"/>
  <c r="K156" i="5"/>
  <c r="J156" i="5"/>
  <c r="I156" i="5"/>
  <c r="P155" i="5"/>
  <c r="N155" i="5"/>
  <c r="O155" i="5" s="1"/>
  <c r="L155" i="5"/>
  <c r="K155" i="5"/>
  <c r="J155" i="5"/>
  <c r="I155" i="5"/>
  <c r="P154" i="5"/>
  <c r="N154" i="5"/>
  <c r="O154" i="5" s="1"/>
  <c r="L154" i="5"/>
  <c r="K154" i="5"/>
  <c r="J154" i="5"/>
  <c r="I154" i="5"/>
  <c r="P153" i="5"/>
  <c r="N153" i="5"/>
  <c r="O153" i="5" s="1"/>
  <c r="L153" i="5"/>
  <c r="K153" i="5"/>
  <c r="J153" i="5"/>
  <c r="I153" i="5"/>
  <c r="P152" i="5"/>
  <c r="O152" i="5"/>
  <c r="N152" i="5"/>
  <c r="L152" i="5"/>
  <c r="K152" i="5"/>
  <c r="J152" i="5"/>
  <c r="I152" i="5"/>
  <c r="P151" i="5"/>
  <c r="O151" i="5"/>
  <c r="N151" i="5"/>
  <c r="L151" i="5"/>
  <c r="K151" i="5"/>
  <c r="J151" i="5"/>
  <c r="I151" i="5"/>
  <c r="P150" i="5"/>
  <c r="N150" i="5"/>
  <c r="O150" i="5" s="1"/>
  <c r="L150" i="5"/>
  <c r="K150" i="5"/>
  <c r="J150" i="5"/>
  <c r="I150" i="5"/>
  <c r="P149" i="5"/>
  <c r="N149" i="5"/>
  <c r="O149" i="5" s="1"/>
  <c r="L149" i="5"/>
  <c r="K149" i="5"/>
  <c r="J149" i="5"/>
  <c r="I149" i="5"/>
  <c r="P148" i="5"/>
  <c r="O148" i="5"/>
  <c r="N148" i="5"/>
  <c r="L148" i="5"/>
  <c r="K148" i="5"/>
  <c r="J148" i="5"/>
  <c r="I148" i="5"/>
  <c r="P147" i="5"/>
  <c r="N147" i="5"/>
  <c r="O147" i="5" s="1"/>
  <c r="L147" i="5"/>
  <c r="K147" i="5"/>
  <c r="J147" i="5"/>
  <c r="I147" i="5"/>
  <c r="P146" i="5"/>
  <c r="N146" i="5"/>
  <c r="O146" i="5" s="1"/>
  <c r="L146" i="5"/>
  <c r="K146" i="5"/>
  <c r="J146" i="5"/>
  <c r="I146" i="5"/>
  <c r="P145" i="5"/>
  <c r="N145" i="5"/>
  <c r="O145" i="5" s="1"/>
  <c r="L145" i="5"/>
  <c r="K145" i="5"/>
  <c r="J145" i="5"/>
  <c r="I145" i="5"/>
  <c r="P144" i="5"/>
  <c r="O144" i="5"/>
  <c r="N144" i="5"/>
  <c r="L144" i="5"/>
  <c r="K144" i="5"/>
  <c r="J144" i="5"/>
  <c r="I144" i="5"/>
  <c r="P143" i="5"/>
  <c r="O143" i="5"/>
  <c r="N143" i="5"/>
  <c r="L143" i="5"/>
  <c r="K143" i="5"/>
  <c r="J143" i="5"/>
  <c r="I143" i="5"/>
  <c r="P142" i="5"/>
  <c r="N142" i="5"/>
  <c r="O142" i="5" s="1"/>
  <c r="L142" i="5"/>
  <c r="K142" i="5"/>
  <c r="J142" i="5"/>
  <c r="I142" i="5"/>
  <c r="P141" i="5"/>
  <c r="N141" i="5"/>
  <c r="O141" i="5" s="1"/>
  <c r="L141" i="5"/>
  <c r="K141" i="5"/>
  <c r="J141" i="5"/>
  <c r="I141" i="5"/>
  <c r="P140" i="5"/>
  <c r="O140" i="5"/>
  <c r="N140" i="5"/>
  <c r="L140" i="5"/>
  <c r="K140" i="5"/>
  <c r="J140" i="5"/>
  <c r="I140" i="5"/>
  <c r="P139" i="5"/>
  <c r="N139" i="5"/>
  <c r="O139" i="5" s="1"/>
  <c r="L139" i="5"/>
  <c r="K139" i="5"/>
  <c r="J139" i="5"/>
  <c r="I139" i="5"/>
  <c r="P138" i="5"/>
  <c r="N138" i="5"/>
  <c r="O138" i="5" s="1"/>
  <c r="L138" i="5"/>
  <c r="K138" i="5"/>
  <c r="J138" i="5"/>
  <c r="I138" i="5"/>
  <c r="P137" i="5"/>
  <c r="N137" i="5"/>
  <c r="O137" i="5" s="1"/>
  <c r="L137" i="5"/>
  <c r="K137" i="5"/>
  <c r="J137" i="5"/>
  <c r="I137" i="5"/>
  <c r="P136" i="5"/>
  <c r="O136" i="5"/>
  <c r="N136" i="5"/>
  <c r="L136" i="5"/>
  <c r="K136" i="5"/>
  <c r="J136" i="5"/>
  <c r="I136" i="5"/>
  <c r="P135" i="5"/>
  <c r="O135" i="5"/>
  <c r="N135" i="5"/>
  <c r="L135" i="5"/>
  <c r="K135" i="5"/>
  <c r="J135" i="5"/>
  <c r="I135" i="5"/>
  <c r="P134" i="5"/>
  <c r="N134" i="5"/>
  <c r="O134" i="5" s="1"/>
  <c r="L134" i="5"/>
  <c r="K134" i="5"/>
  <c r="J134" i="5"/>
  <c r="I134" i="5"/>
  <c r="P133" i="5"/>
  <c r="N133" i="5"/>
  <c r="O133" i="5" s="1"/>
  <c r="L133" i="5"/>
  <c r="K133" i="5"/>
  <c r="J133" i="5"/>
  <c r="I133" i="5"/>
  <c r="P132" i="5"/>
  <c r="O132" i="5"/>
  <c r="N132" i="5"/>
  <c r="L132" i="5"/>
  <c r="K132" i="5"/>
  <c r="J132" i="5"/>
  <c r="I132" i="5"/>
  <c r="P131" i="5"/>
  <c r="N131" i="5"/>
  <c r="O131" i="5" s="1"/>
  <c r="L131" i="5"/>
  <c r="K131" i="5"/>
  <c r="J131" i="5"/>
  <c r="I131" i="5"/>
  <c r="P130" i="5"/>
  <c r="N130" i="5"/>
  <c r="O130" i="5" s="1"/>
  <c r="L130" i="5"/>
  <c r="K130" i="5"/>
  <c r="J130" i="5"/>
  <c r="I130" i="5"/>
  <c r="P129" i="5"/>
  <c r="N129" i="5"/>
  <c r="O129" i="5" s="1"/>
  <c r="L129" i="5"/>
  <c r="K129" i="5"/>
  <c r="J129" i="5"/>
  <c r="I129" i="5"/>
  <c r="P128" i="5"/>
  <c r="O128" i="5"/>
  <c r="N128" i="5"/>
  <c r="L128" i="5"/>
  <c r="K128" i="5"/>
  <c r="J128" i="5"/>
  <c r="I128" i="5"/>
  <c r="P127" i="5"/>
  <c r="O127" i="5"/>
  <c r="N127" i="5"/>
  <c r="L127" i="5"/>
  <c r="K127" i="5"/>
  <c r="J127" i="5"/>
  <c r="I127" i="5"/>
  <c r="P126" i="5"/>
  <c r="N126" i="5"/>
  <c r="O126" i="5" s="1"/>
  <c r="L126" i="5"/>
  <c r="K126" i="5"/>
  <c r="J126" i="5"/>
  <c r="I126" i="5"/>
  <c r="P125" i="5"/>
  <c r="N125" i="5"/>
  <c r="O125" i="5" s="1"/>
  <c r="L125" i="5"/>
  <c r="K125" i="5"/>
  <c r="J125" i="5"/>
  <c r="I125" i="5"/>
  <c r="P124" i="5"/>
  <c r="O124" i="5"/>
  <c r="N124" i="5"/>
  <c r="L124" i="5"/>
  <c r="K124" i="5"/>
  <c r="J124" i="5"/>
  <c r="I124" i="5"/>
  <c r="P123" i="5"/>
  <c r="N123" i="5"/>
  <c r="O123" i="5" s="1"/>
  <c r="L123" i="5"/>
  <c r="K123" i="5"/>
  <c r="J123" i="5"/>
  <c r="I123" i="5"/>
  <c r="P122" i="5"/>
  <c r="N122" i="5"/>
  <c r="O122" i="5" s="1"/>
  <c r="L122" i="5"/>
  <c r="K122" i="5"/>
  <c r="J122" i="5"/>
  <c r="I122" i="5"/>
  <c r="P121" i="5"/>
  <c r="N121" i="5"/>
  <c r="O121" i="5" s="1"/>
  <c r="L121" i="5"/>
  <c r="K121" i="5"/>
  <c r="J121" i="5"/>
  <c r="I121" i="5"/>
  <c r="P120" i="5"/>
  <c r="O120" i="5"/>
  <c r="N120" i="5"/>
  <c r="L120" i="5"/>
  <c r="K120" i="5"/>
  <c r="J120" i="5"/>
  <c r="I120" i="5"/>
  <c r="P119" i="5"/>
  <c r="O119" i="5"/>
  <c r="N119" i="5"/>
  <c r="L119" i="5"/>
  <c r="K119" i="5"/>
  <c r="J119" i="5"/>
  <c r="I119" i="5"/>
  <c r="P118" i="5"/>
  <c r="N118" i="5"/>
  <c r="O118" i="5" s="1"/>
  <c r="L118" i="5"/>
  <c r="K118" i="5"/>
  <c r="J118" i="5"/>
  <c r="I118" i="5"/>
  <c r="P117" i="5"/>
  <c r="N117" i="5"/>
  <c r="O117" i="5" s="1"/>
  <c r="L117" i="5"/>
  <c r="K117" i="5"/>
  <c r="J117" i="5"/>
  <c r="I117" i="5"/>
  <c r="P116" i="5"/>
  <c r="O116" i="5"/>
  <c r="N116" i="5"/>
  <c r="L116" i="5"/>
  <c r="K116" i="5"/>
  <c r="J116" i="5"/>
  <c r="I116" i="5"/>
  <c r="P115" i="5"/>
  <c r="N115" i="5"/>
  <c r="O115" i="5" s="1"/>
  <c r="L115" i="5"/>
  <c r="K115" i="5"/>
  <c r="J115" i="5"/>
  <c r="I115" i="5"/>
  <c r="P114" i="5"/>
  <c r="N114" i="5"/>
  <c r="O114" i="5" s="1"/>
  <c r="L114" i="5"/>
  <c r="K114" i="5"/>
  <c r="J114" i="5"/>
  <c r="I114" i="5"/>
  <c r="P113" i="5"/>
  <c r="N113" i="5"/>
  <c r="O113" i="5" s="1"/>
  <c r="L113" i="5"/>
  <c r="K113" i="5"/>
  <c r="J113" i="5"/>
  <c r="I113" i="5"/>
  <c r="P112" i="5"/>
  <c r="O112" i="5"/>
  <c r="N112" i="5"/>
  <c r="L112" i="5"/>
  <c r="K112" i="5"/>
  <c r="J112" i="5"/>
  <c r="I112" i="5"/>
  <c r="P111" i="5"/>
  <c r="O111" i="5"/>
  <c r="N111" i="5"/>
  <c r="L111" i="5"/>
  <c r="K111" i="5"/>
  <c r="J111" i="5"/>
  <c r="I111" i="5"/>
  <c r="P110" i="5"/>
  <c r="N110" i="5"/>
  <c r="O110" i="5" s="1"/>
  <c r="L110" i="5"/>
  <c r="K110" i="5"/>
  <c r="J110" i="5"/>
  <c r="I110" i="5"/>
  <c r="P109" i="5"/>
  <c r="N109" i="5"/>
  <c r="O109" i="5" s="1"/>
  <c r="L109" i="5"/>
  <c r="K109" i="5"/>
  <c r="J109" i="5"/>
  <c r="I109" i="5"/>
  <c r="P108" i="5"/>
  <c r="O108" i="5"/>
  <c r="N108" i="5"/>
  <c r="L108" i="5"/>
  <c r="K108" i="5"/>
  <c r="J108" i="5"/>
  <c r="I108" i="5"/>
  <c r="P107" i="5"/>
  <c r="N107" i="5"/>
  <c r="O107" i="5" s="1"/>
  <c r="L107" i="5"/>
  <c r="K107" i="5"/>
  <c r="J107" i="5"/>
  <c r="I107" i="5"/>
  <c r="P106" i="5"/>
  <c r="N106" i="5"/>
  <c r="O106" i="5" s="1"/>
  <c r="L106" i="5"/>
  <c r="K106" i="5"/>
  <c r="J106" i="5"/>
  <c r="I106" i="5"/>
  <c r="P105" i="5"/>
  <c r="N105" i="5"/>
  <c r="O105" i="5" s="1"/>
  <c r="L105" i="5"/>
  <c r="K105" i="5"/>
  <c r="J105" i="5"/>
  <c r="I105" i="5"/>
  <c r="P104" i="5"/>
  <c r="O104" i="5"/>
  <c r="N104" i="5"/>
  <c r="L104" i="5"/>
  <c r="K104" i="5"/>
  <c r="J104" i="5"/>
  <c r="I104" i="5"/>
  <c r="P103" i="5"/>
  <c r="O103" i="5"/>
  <c r="N103" i="5"/>
  <c r="L103" i="5"/>
  <c r="K103" i="5"/>
  <c r="J103" i="5"/>
  <c r="I103" i="5"/>
  <c r="P102" i="5"/>
  <c r="N102" i="5"/>
  <c r="O102" i="5" s="1"/>
  <c r="L102" i="5"/>
  <c r="K102" i="5"/>
  <c r="J102" i="5"/>
  <c r="I102" i="5"/>
  <c r="P101" i="5"/>
  <c r="N101" i="5"/>
  <c r="O101" i="5" s="1"/>
  <c r="L101" i="5"/>
  <c r="K101" i="5"/>
  <c r="J101" i="5"/>
  <c r="I101" i="5"/>
  <c r="P100" i="5"/>
  <c r="O100" i="5"/>
  <c r="N100" i="5"/>
  <c r="L100" i="5"/>
  <c r="K100" i="5"/>
  <c r="J100" i="5"/>
  <c r="I100" i="5"/>
  <c r="P99" i="5"/>
  <c r="N99" i="5"/>
  <c r="O99" i="5" s="1"/>
  <c r="L99" i="5"/>
  <c r="K99" i="5"/>
  <c r="J99" i="5"/>
  <c r="I99" i="5"/>
  <c r="P98" i="5"/>
  <c r="N98" i="5"/>
  <c r="O98" i="5" s="1"/>
  <c r="L98" i="5"/>
  <c r="K98" i="5"/>
  <c r="J98" i="5"/>
  <c r="I98" i="5"/>
  <c r="P97" i="5"/>
  <c r="N97" i="5"/>
  <c r="O97" i="5" s="1"/>
  <c r="L97" i="5"/>
  <c r="K97" i="5"/>
  <c r="J97" i="5"/>
  <c r="I97" i="5"/>
  <c r="P96" i="5"/>
  <c r="O96" i="5"/>
  <c r="N96" i="5"/>
  <c r="L96" i="5"/>
  <c r="K96" i="5"/>
  <c r="J96" i="5"/>
  <c r="I96" i="5"/>
  <c r="P95" i="5"/>
  <c r="O95" i="5"/>
  <c r="N95" i="5"/>
  <c r="L95" i="5"/>
  <c r="K95" i="5"/>
  <c r="J95" i="5"/>
  <c r="I95" i="5"/>
  <c r="P94" i="5"/>
  <c r="N94" i="5"/>
  <c r="O94" i="5" s="1"/>
  <c r="L94" i="5"/>
  <c r="K94" i="5"/>
  <c r="J94" i="5"/>
  <c r="I94" i="5"/>
  <c r="P93" i="5"/>
  <c r="N93" i="5"/>
  <c r="O93" i="5" s="1"/>
  <c r="L93" i="5"/>
  <c r="K93" i="5"/>
  <c r="J93" i="5"/>
  <c r="I93" i="5"/>
  <c r="P92" i="5"/>
  <c r="O92" i="5"/>
  <c r="N92" i="5"/>
  <c r="L92" i="5"/>
  <c r="K92" i="5"/>
  <c r="J92" i="5"/>
  <c r="I92" i="5"/>
  <c r="P91" i="5"/>
  <c r="N91" i="5"/>
  <c r="O91" i="5" s="1"/>
  <c r="L91" i="5"/>
  <c r="K91" i="5"/>
  <c r="J91" i="5"/>
  <c r="I91" i="5"/>
  <c r="P90" i="5"/>
  <c r="N90" i="5"/>
  <c r="O90" i="5" s="1"/>
  <c r="L90" i="5"/>
  <c r="K90" i="5"/>
  <c r="J90" i="5"/>
  <c r="I90" i="5"/>
  <c r="P89" i="5"/>
  <c r="N89" i="5"/>
  <c r="O89" i="5" s="1"/>
  <c r="L89" i="5"/>
  <c r="K89" i="5"/>
  <c r="J89" i="5"/>
  <c r="I89" i="5"/>
  <c r="P88" i="5"/>
  <c r="O88" i="5"/>
  <c r="N88" i="5"/>
  <c r="L88" i="5"/>
  <c r="K88" i="5"/>
  <c r="J88" i="5"/>
  <c r="I88" i="5"/>
  <c r="P87" i="5"/>
  <c r="O87" i="5"/>
  <c r="N87" i="5"/>
  <c r="L87" i="5"/>
  <c r="K87" i="5"/>
  <c r="J87" i="5"/>
  <c r="I87" i="5"/>
  <c r="P86" i="5"/>
  <c r="N86" i="5"/>
  <c r="O86" i="5" s="1"/>
  <c r="L86" i="5"/>
  <c r="K86" i="5"/>
  <c r="J86" i="5"/>
  <c r="I86" i="5"/>
  <c r="P85" i="5"/>
  <c r="N85" i="5"/>
  <c r="O85" i="5" s="1"/>
  <c r="L85" i="5"/>
  <c r="K85" i="5"/>
  <c r="J85" i="5"/>
  <c r="I85" i="5"/>
  <c r="P84" i="5"/>
  <c r="O84" i="5"/>
  <c r="N84" i="5"/>
  <c r="L84" i="5"/>
  <c r="K84" i="5"/>
  <c r="J84" i="5"/>
  <c r="I84" i="5"/>
  <c r="P83" i="5"/>
  <c r="N83" i="5"/>
  <c r="O83" i="5" s="1"/>
  <c r="L83" i="5"/>
  <c r="K83" i="5"/>
  <c r="J83" i="5"/>
  <c r="I83" i="5"/>
  <c r="P82" i="5"/>
  <c r="N82" i="5"/>
  <c r="O82" i="5" s="1"/>
  <c r="L82" i="5"/>
  <c r="K82" i="5"/>
  <c r="J82" i="5"/>
  <c r="I82" i="5"/>
  <c r="P81" i="5"/>
  <c r="N81" i="5"/>
  <c r="O81" i="5" s="1"/>
  <c r="L81" i="5"/>
  <c r="K81" i="5"/>
  <c r="J81" i="5"/>
  <c r="I81" i="5"/>
  <c r="P80" i="5"/>
  <c r="O80" i="5"/>
  <c r="N80" i="5"/>
  <c r="L80" i="5"/>
  <c r="K80" i="5"/>
  <c r="J80" i="5"/>
  <c r="I80" i="5"/>
  <c r="P79" i="5"/>
  <c r="O79" i="5"/>
  <c r="N79" i="5"/>
  <c r="L79" i="5"/>
  <c r="K79" i="5"/>
  <c r="J79" i="5"/>
  <c r="I79" i="5"/>
  <c r="P78" i="5"/>
  <c r="N78" i="5"/>
  <c r="O78" i="5" s="1"/>
  <c r="L78" i="5"/>
  <c r="K78" i="5"/>
  <c r="J78" i="5"/>
  <c r="I78" i="5"/>
  <c r="P77" i="5"/>
  <c r="N77" i="5"/>
  <c r="O77" i="5" s="1"/>
  <c r="L77" i="5"/>
  <c r="K77" i="5"/>
  <c r="J77" i="5"/>
  <c r="I77" i="5"/>
  <c r="P76" i="5"/>
  <c r="O76" i="5"/>
  <c r="N76" i="5"/>
  <c r="L76" i="5"/>
  <c r="K76" i="5"/>
  <c r="J76" i="5"/>
  <c r="I76" i="5"/>
  <c r="P75" i="5"/>
  <c r="N75" i="5"/>
  <c r="O75" i="5" s="1"/>
  <c r="L75" i="5"/>
  <c r="K75" i="5"/>
  <c r="J75" i="5"/>
  <c r="I75" i="5"/>
  <c r="P74" i="5"/>
  <c r="N74" i="5"/>
  <c r="O74" i="5" s="1"/>
  <c r="L74" i="5"/>
  <c r="K74" i="5"/>
  <c r="J74" i="5"/>
  <c r="I74" i="5"/>
  <c r="P73" i="5"/>
  <c r="N73" i="5"/>
  <c r="O73" i="5" s="1"/>
  <c r="L73" i="5"/>
  <c r="K73" i="5"/>
  <c r="J73" i="5"/>
  <c r="I73" i="5"/>
  <c r="P72" i="5"/>
  <c r="O72" i="5"/>
  <c r="N72" i="5"/>
  <c r="L72" i="5"/>
  <c r="K72" i="5"/>
  <c r="J72" i="5"/>
  <c r="I72" i="5"/>
  <c r="P71" i="5"/>
  <c r="O71" i="5"/>
  <c r="N71" i="5"/>
  <c r="L71" i="5"/>
  <c r="K71" i="5"/>
  <c r="J71" i="5"/>
  <c r="I71" i="5"/>
  <c r="P70" i="5"/>
  <c r="N70" i="5"/>
  <c r="O70" i="5" s="1"/>
  <c r="L70" i="5"/>
  <c r="K70" i="5"/>
  <c r="J70" i="5"/>
  <c r="I70" i="5"/>
  <c r="P69" i="5"/>
  <c r="N69" i="5"/>
  <c r="O69" i="5" s="1"/>
  <c r="L69" i="5"/>
  <c r="K69" i="5"/>
  <c r="J69" i="5"/>
  <c r="I69" i="5"/>
  <c r="P68" i="5"/>
  <c r="O68" i="5"/>
  <c r="N68" i="5"/>
  <c r="L68" i="5"/>
  <c r="K68" i="5"/>
  <c r="J68" i="5"/>
  <c r="I68" i="5"/>
  <c r="P67" i="5"/>
  <c r="N67" i="5"/>
  <c r="O67" i="5" s="1"/>
  <c r="L67" i="5"/>
  <c r="K67" i="5"/>
  <c r="J67" i="5"/>
  <c r="I67" i="5"/>
  <c r="P66" i="5"/>
  <c r="N66" i="5"/>
  <c r="O66" i="5" s="1"/>
  <c r="L66" i="5"/>
  <c r="K66" i="5"/>
  <c r="J66" i="5"/>
  <c r="I66" i="5"/>
  <c r="P65" i="5"/>
  <c r="N65" i="5"/>
  <c r="O65" i="5" s="1"/>
  <c r="L65" i="5"/>
  <c r="K65" i="5"/>
  <c r="J65" i="5"/>
  <c r="I65" i="5"/>
  <c r="P64" i="5"/>
  <c r="O64" i="5"/>
  <c r="N64" i="5"/>
  <c r="L64" i="5"/>
  <c r="K64" i="5"/>
  <c r="J64" i="5"/>
  <c r="I64" i="5"/>
  <c r="P63" i="5"/>
  <c r="O63" i="5"/>
  <c r="N63" i="5"/>
  <c r="L63" i="5"/>
  <c r="K63" i="5"/>
  <c r="J63" i="5"/>
  <c r="I63" i="5"/>
  <c r="P62" i="5"/>
  <c r="N62" i="5"/>
  <c r="O62" i="5" s="1"/>
  <c r="L62" i="5"/>
  <c r="K62" i="5"/>
  <c r="J62" i="5"/>
  <c r="I62" i="5"/>
  <c r="P61" i="5"/>
  <c r="N61" i="5"/>
  <c r="O61" i="5" s="1"/>
  <c r="L61" i="5"/>
  <c r="K61" i="5"/>
  <c r="J61" i="5"/>
  <c r="I61" i="5"/>
  <c r="P60" i="5"/>
  <c r="O60" i="5"/>
  <c r="N60" i="5"/>
  <c r="L60" i="5"/>
  <c r="K60" i="5"/>
  <c r="J60" i="5"/>
  <c r="I60" i="5"/>
  <c r="P59" i="5"/>
  <c r="N59" i="5"/>
  <c r="O59" i="5" s="1"/>
  <c r="L59" i="5"/>
  <c r="K59" i="5"/>
  <c r="J59" i="5"/>
  <c r="I59" i="5"/>
  <c r="P58" i="5"/>
  <c r="N58" i="5"/>
  <c r="O58" i="5" s="1"/>
  <c r="L58" i="5"/>
  <c r="K58" i="5"/>
  <c r="J58" i="5"/>
  <c r="I58" i="5"/>
  <c r="P57" i="5"/>
  <c r="N57" i="5"/>
  <c r="O57" i="5" s="1"/>
  <c r="L57" i="5"/>
  <c r="K57" i="5"/>
  <c r="J57" i="5"/>
  <c r="I57" i="5"/>
  <c r="P56" i="5"/>
  <c r="O56" i="5"/>
  <c r="N56" i="5"/>
  <c r="L56" i="5"/>
  <c r="K56" i="5"/>
  <c r="J56" i="5"/>
  <c r="I56" i="5"/>
  <c r="P55" i="5"/>
  <c r="O55" i="5"/>
  <c r="N55" i="5"/>
  <c r="L55" i="5"/>
  <c r="K55" i="5"/>
  <c r="J55" i="5"/>
  <c r="I55" i="5"/>
  <c r="P54" i="5"/>
  <c r="N54" i="5"/>
  <c r="O54" i="5" s="1"/>
  <c r="L54" i="5"/>
  <c r="K54" i="5"/>
  <c r="J54" i="5"/>
  <c r="I54" i="5"/>
  <c r="P53" i="5"/>
  <c r="N53" i="5"/>
  <c r="O53" i="5" s="1"/>
  <c r="L53" i="5"/>
  <c r="K53" i="5"/>
  <c r="J53" i="5"/>
  <c r="I53" i="5"/>
  <c r="P52" i="5"/>
  <c r="O52" i="5"/>
  <c r="N52" i="5"/>
  <c r="L52" i="5"/>
  <c r="K52" i="5"/>
  <c r="J52" i="5"/>
  <c r="I52" i="5"/>
  <c r="P51" i="5"/>
  <c r="N51" i="5"/>
  <c r="O51" i="5" s="1"/>
  <c r="L51" i="5"/>
  <c r="K51" i="5"/>
  <c r="J51" i="5"/>
  <c r="I51" i="5"/>
  <c r="P50" i="5"/>
  <c r="N50" i="5"/>
  <c r="O50" i="5" s="1"/>
  <c r="L50" i="5"/>
  <c r="K50" i="5"/>
  <c r="J50" i="5"/>
  <c r="I50" i="5"/>
  <c r="P49" i="5"/>
  <c r="N49" i="5"/>
  <c r="O49" i="5" s="1"/>
  <c r="L49" i="5"/>
  <c r="K49" i="5"/>
  <c r="J49" i="5"/>
  <c r="I49" i="5"/>
  <c r="P48" i="5"/>
  <c r="O48" i="5"/>
  <c r="N48" i="5"/>
  <c r="L48" i="5"/>
  <c r="K48" i="5"/>
  <c r="J48" i="5"/>
  <c r="I48" i="5"/>
  <c r="P47" i="5"/>
  <c r="O47" i="5"/>
  <c r="N47" i="5"/>
  <c r="L47" i="5"/>
  <c r="K47" i="5"/>
  <c r="J47" i="5"/>
  <c r="I47" i="5"/>
  <c r="P46" i="5"/>
  <c r="N46" i="5"/>
  <c r="O46" i="5" s="1"/>
  <c r="L46" i="5"/>
  <c r="K46" i="5"/>
  <c r="J46" i="5"/>
  <c r="I46" i="5"/>
  <c r="P45" i="5"/>
  <c r="N45" i="5"/>
  <c r="O45" i="5" s="1"/>
  <c r="L45" i="5"/>
  <c r="K45" i="5"/>
  <c r="J45" i="5"/>
  <c r="I45" i="5"/>
  <c r="P44" i="5"/>
  <c r="O44" i="5"/>
  <c r="N44" i="5"/>
  <c r="L44" i="5"/>
  <c r="K44" i="5"/>
  <c r="J44" i="5"/>
  <c r="I44" i="5"/>
  <c r="P43" i="5"/>
  <c r="N43" i="5"/>
  <c r="O43" i="5" s="1"/>
  <c r="L43" i="5"/>
  <c r="K43" i="5"/>
  <c r="J43" i="5"/>
  <c r="I43" i="5"/>
  <c r="P42" i="5"/>
  <c r="N42" i="5"/>
  <c r="O42" i="5" s="1"/>
  <c r="L42" i="5"/>
  <c r="K42" i="5"/>
  <c r="J42" i="5"/>
  <c r="I42" i="5"/>
  <c r="P41" i="5"/>
  <c r="N41" i="5"/>
  <c r="O41" i="5" s="1"/>
  <c r="L41" i="5"/>
  <c r="K41" i="5"/>
  <c r="J41" i="5"/>
  <c r="I41" i="5"/>
  <c r="P40" i="5"/>
  <c r="O40" i="5"/>
  <c r="N40" i="5"/>
  <c r="L40" i="5"/>
  <c r="K40" i="5"/>
  <c r="J40" i="5"/>
  <c r="I40" i="5"/>
  <c r="P39" i="5"/>
  <c r="O39" i="5"/>
  <c r="N39" i="5"/>
  <c r="L39" i="5"/>
  <c r="K39" i="5"/>
  <c r="J39" i="5"/>
  <c r="I39" i="5"/>
  <c r="P38" i="5"/>
  <c r="N38" i="5"/>
  <c r="O38" i="5" s="1"/>
  <c r="L38" i="5"/>
  <c r="K38" i="5"/>
  <c r="J38" i="5"/>
  <c r="I38" i="5"/>
  <c r="P37" i="5"/>
  <c r="N37" i="5"/>
  <c r="O37" i="5" s="1"/>
  <c r="L37" i="5"/>
  <c r="K37" i="5"/>
  <c r="J37" i="5"/>
  <c r="I37" i="5"/>
  <c r="P36" i="5"/>
  <c r="O36" i="5"/>
  <c r="N36" i="5"/>
  <c r="L36" i="5"/>
  <c r="K36" i="5"/>
  <c r="J36" i="5"/>
  <c r="I36" i="5"/>
  <c r="P35" i="5"/>
  <c r="N35" i="5"/>
  <c r="O35" i="5" s="1"/>
  <c r="L35" i="5"/>
  <c r="K35" i="5"/>
  <c r="J35" i="5"/>
  <c r="I35" i="5"/>
  <c r="P34" i="5"/>
  <c r="N34" i="5"/>
  <c r="O34" i="5" s="1"/>
  <c r="L34" i="5"/>
  <c r="K34" i="5"/>
  <c r="J34" i="5"/>
  <c r="I34" i="5"/>
  <c r="P33" i="5"/>
  <c r="N33" i="5"/>
  <c r="O33" i="5" s="1"/>
  <c r="L33" i="5"/>
  <c r="K33" i="5"/>
  <c r="J33" i="5"/>
  <c r="I33" i="5"/>
  <c r="P32" i="5"/>
  <c r="O32" i="5"/>
  <c r="N32" i="5"/>
  <c r="L32" i="5"/>
  <c r="K32" i="5"/>
  <c r="J32" i="5"/>
  <c r="I32" i="5"/>
  <c r="P31" i="5"/>
  <c r="O31" i="5"/>
  <c r="N31" i="5"/>
  <c r="L31" i="5"/>
  <c r="K31" i="5"/>
  <c r="J31" i="5"/>
  <c r="I31" i="5"/>
  <c r="P30" i="5"/>
  <c r="N30" i="5"/>
  <c r="O30" i="5" s="1"/>
  <c r="L30" i="5"/>
  <c r="K30" i="5"/>
  <c r="J30" i="5"/>
  <c r="I30" i="5"/>
  <c r="P29" i="5"/>
  <c r="N29" i="5"/>
  <c r="O29" i="5" s="1"/>
  <c r="L29" i="5"/>
  <c r="K29" i="5"/>
  <c r="J29" i="5"/>
  <c r="I29" i="5"/>
  <c r="P28" i="5"/>
  <c r="O28" i="5"/>
  <c r="N28" i="5"/>
  <c r="L28" i="5"/>
  <c r="K28" i="5"/>
  <c r="J28" i="5"/>
  <c r="I28" i="5"/>
  <c r="P27" i="5"/>
  <c r="N27" i="5"/>
  <c r="O27" i="5" s="1"/>
  <c r="L27" i="5"/>
  <c r="K27" i="5"/>
  <c r="J27" i="5"/>
  <c r="I27" i="5"/>
  <c r="P26" i="5"/>
  <c r="N26" i="5"/>
  <c r="O26" i="5" s="1"/>
  <c r="L26" i="5"/>
  <c r="K26" i="5"/>
  <c r="J26" i="5"/>
  <c r="I26" i="5"/>
  <c r="P25" i="5"/>
  <c r="N25" i="5"/>
  <c r="O25" i="5" s="1"/>
  <c r="L25" i="5"/>
  <c r="K25" i="5"/>
  <c r="J25" i="5"/>
  <c r="I25" i="5"/>
  <c r="P24" i="5"/>
  <c r="O24" i="5"/>
  <c r="N24" i="5"/>
  <c r="L24" i="5"/>
  <c r="K24" i="5"/>
  <c r="J24" i="5"/>
  <c r="I24" i="5"/>
  <c r="P23" i="5"/>
  <c r="O23" i="5"/>
  <c r="N23" i="5"/>
  <c r="L23" i="5"/>
  <c r="K23" i="5"/>
  <c r="J23" i="5"/>
  <c r="I23" i="5"/>
  <c r="P22" i="5"/>
  <c r="N22" i="5"/>
  <c r="O22" i="5" s="1"/>
  <c r="L22" i="5"/>
  <c r="K22" i="5"/>
  <c r="J22" i="5"/>
  <c r="I22" i="5"/>
  <c r="P21" i="5"/>
  <c r="N21" i="5"/>
  <c r="O21" i="5" s="1"/>
  <c r="L21" i="5"/>
  <c r="K21" i="5"/>
  <c r="J21" i="5"/>
  <c r="I21" i="5"/>
  <c r="P20" i="5"/>
  <c r="O20" i="5"/>
  <c r="N20" i="5"/>
  <c r="L20" i="5"/>
  <c r="K20" i="5"/>
  <c r="J20" i="5"/>
  <c r="I20" i="5"/>
  <c r="P19" i="5"/>
  <c r="N19" i="5"/>
  <c r="O19" i="5" s="1"/>
  <c r="L19" i="5"/>
  <c r="K19" i="5"/>
  <c r="J19" i="5"/>
  <c r="I19" i="5"/>
  <c r="P18" i="5"/>
  <c r="N18" i="5"/>
  <c r="O18" i="5" s="1"/>
  <c r="L18" i="5"/>
  <c r="K18" i="5"/>
  <c r="J18" i="5"/>
  <c r="I18" i="5"/>
  <c r="P17" i="5"/>
  <c r="N17" i="5"/>
  <c r="O17" i="5" s="1"/>
  <c r="L17" i="5"/>
  <c r="K17" i="5"/>
  <c r="J17" i="5"/>
  <c r="I17" i="5"/>
  <c r="P16" i="5"/>
  <c r="O16" i="5"/>
  <c r="N16" i="5"/>
  <c r="L16" i="5"/>
  <c r="K16" i="5"/>
  <c r="J16" i="5"/>
  <c r="I16" i="5"/>
  <c r="P15" i="5"/>
  <c r="O15" i="5"/>
  <c r="N15" i="5"/>
  <c r="L15" i="5"/>
  <c r="K15" i="5"/>
  <c r="J15" i="5"/>
  <c r="I15" i="5"/>
  <c r="P14" i="5"/>
  <c r="N14" i="5"/>
  <c r="O14" i="5" s="1"/>
  <c r="L14" i="5"/>
  <c r="K14" i="5"/>
  <c r="J14" i="5"/>
  <c r="I14" i="5"/>
  <c r="P13" i="5"/>
  <c r="N13" i="5"/>
  <c r="O13" i="5" s="1"/>
  <c r="L13" i="5"/>
  <c r="K13" i="5"/>
  <c r="J13" i="5"/>
  <c r="I13" i="5"/>
  <c r="P12" i="5"/>
  <c r="O12" i="5"/>
  <c r="N12" i="5"/>
  <c r="L12" i="5"/>
  <c r="K12" i="5"/>
  <c r="J12" i="5"/>
  <c r="I12" i="5"/>
  <c r="P11" i="5"/>
  <c r="N11" i="5"/>
  <c r="O11" i="5" s="1"/>
  <c r="L11" i="5"/>
  <c r="K11" i="5"/>
  <c r="J11" i="5"/>
  <c r="I11" i="5"/>
  <c r="L10" i="5"/>
  <c r="N10" i="5" s="1"/>
  <c r="K10" i="5"/>
  <c r="D7" i="5"/>
  <c r="J7" i="5"/>
  <c r="H34" i="4"/>
  <c r="E32" i="4"/>
  <c r="F32" i="4" s="1"/>
  <c r="E31" i="4"/>
  <c r="F31" i="4" s="1"/>
  <c r="E30" i="4"/>
  <c r="F30" i="4" s="1"/>
  <c r="E29" i="4"/>
  <c r="F29" i="4" s="1"/>
  <c r="E28" i="4"/>
  <c r="F28" i="4" s="1"/>
  <c r="E27" i="4"/>
  <c r="F27" i="4" s="1"/>
  <c r="E26" i="4"/>
  <c r="F26" i="4" s="1"/>
  <c r="E25" i="4"/>
  <c r="F25" i="4" s="1"/>
  <c r="F24" i="4"/>
  <c r="E23" i="4"/>
  <c r="F23" i="4" s="1"/>
  <c r="E22" i="4"/>
  <c r="F22" i="4" s="1"/>
  <c r="E21" i="4"/>
  <c r="F21" i="4" s="1"/>
  <c r="F20" i="4"/>
  <c r="E19" i="4"/>
  <c r="F19" i="4" s="1"/>
  <c r="E18" i="4"/>
  <c r="F18" i="4" s="1"/>
  <c r="E17" i="4"/>
  <c r="F17" i="4" s="1"/>
  <c r="E16" i="4"/>
  <c r="F16" i="4" s="1"/>
  <c r="F15" i="4"/>
  <c r="F14" i="4"/>
  <c r="E13" i="4"/>
  <c r="F13" i="4" s="1"/>
  <c r="E12" i="4"/>
  <c r="F12" i="4" s="1"/>
  <c r="B6" i="3"/>
  <c r="O91" i="2"/>
  <c r="N91" i="2"/>
  <c r="M91" i="2"/>
  <c r="L91" i="2"/>
  <c r="K91" i="2"/>
  <c r="J91" i="2"/>
  <c r="I91" i="2"/>
  <c r="H91" i="2"/>
  <c r="G91" i="2"/>
  <c r="F91" i="2"/>
  <c r="E91" i="2"/>
  <c r="D91" i="2"/>
  <c r="C91" i="2"/>
  <c r="O84" i="2"/>
  <c r="N84" i="2"/>
  <c r="M84" i="2"/>
  <c r="L84" i="2"/>
  <c r="K84" i="2"/>
  <c r="J84" i="2"/>
  <c r="I84" i="2"/>
  <c r="H84" i="2"/>
  <c r="G84" i="2"/>
  <c r="F84" i="2"/>
  <c r="E84" i="2"/>
  <c r="D84" i="2"/>
  <c r="C84" i="2"/>
  <c r="K77" i="2"/>
  <c r="O71" i="2"/>
  <c r="O77" i="2" s="1"/>
  <c r="K71" i="2"/>
  <c r="J71" i="2"/>
  <c r="J77" i="2" s="1"/>
  <c r="O67" i="2"/>
  <c r="N67" i="2"/>
  <c r="M67" i="2"/>
  <c r="L67" i="2"/>
  <c r="K67" i="2"/>
  <c r="J67" i="2"/>
  <c r="I67" i="2"/>
  <c r="H67" i="2"/>
  <c r="G67" i="2"/>
  <c r="F67" i="2"/>
  <c r="E67" i="2"/>
  <c r="D67" i="2"/>
  <c r="C67" i="2"/>
  <c r="O60" i="2"/>
  <c r="N60" i="2"/>
  <c r="M60" i="2"/>
  <c r="L60" i="2"/>
  <c r="K60" i="2"/>
  <c r="J60" i="2"/>
  <c r="I60" i="2"/>
  <c r="H60" i="2"/>
  <c r="G60" i="2"/>
  <c r="F60" i="2"/>
  <c r="E60" i="2"/>
  <c r="D60" i="2"/>
  <c r="C60" i="2"/>
  <c r="L46" i="2"/>
  <c r="D46" i="2"/>
  <c r="I45" i="2"/>
  <c r="O44" i="2"/>
  <c r="H44" i="2"/>
  <c r="D44" i="2"/>
  <c r="D43" i="2"/>
  <c r="N42" i="2"/>
  <c r="I42" i="2"/>
  <c r="O41" i="2"/>
  <c r="D41" i="2"/>
  <c r="L40" i="2"/>
  <c r="H40" i="2"/>
  <c r="D40" i="2"/>
  <c r="I39" i="2"/>
  <c r="D38" i="2"/>
  <c r="O37" i="2"/>
  <c r="H37" i="2"/>
  <c r="G37" i="2"/>
  <c r="O36" i="2"/>
  <c r="N36" i="2"/>
  <c r="L36" i="2"/>
  <c r="H36" i="2"/>
  <c r="G36" i="2"/>
  <c r="F36" i="2"/>
  <c r="D36" i="2"/>
  <c r="O32" i="2"/>
  <c r="N32" i="2"/>
  <c r="M32" i="2"/>
  <c r="M36" i="2" s="1"/>
  <c r="M41" i="2" s="1"/>
  <c r="L32" i="2"/>
  <c r="K32" i="2"/>
  <c r="J32" i="2"/>
  <c r="I32" i="2"/>
  <c r="I36" i="2" s="1"/>
  <c r="H32" i="2"/>
  <c r="G32" i="2"/>
  <c r="F32" i="2"/>
  <c r="E32" i="2"/>
  <c r="D32" i="2"/>
  <c r="C32" i="2"/>
  <c r="J28" i="2"/>
  <c r="O26" i="2"/>
  <c r="N26" i="2"/>
  <c r="M26" i="2"/>
  <c r="L26" i="2"/>
  <c r="K26" i="2"/>
  <c r="J26" i="2"/>
  <c r="I26" i="2"/>
  <c r="H26" i="2"/>
  <c r="G26" i="2"/>
  <c r="F26" i="2"/>
  <c r="E26" i="2"/>
  <c r="D26" i="2"/>
  <c r="C26" i="2"/>
  <c r="O17" i="2"/>
  <c r="M17" i="2"/>
  <c r="J17" i="2"/>
  <c r="I17" i="2"/>
  <c r="G17" i="2"/>
  <c r="E17" i="2"/>
  <c r="O16" i="2"/>
  <c r="M16" i="2"/>
  <c r="L16" i="2"/>
  <c r="K16" i="2"/>
  <c r="J16" i="2"/>
  <c r="J18" i="2" s="1"/>
  <c r="G16" i="2"/>
  <c r="E16" i="2"/>
  <c r="D16" i="2"/>
  <c r="O15" i="2"/>
  <c r="K15" i="2"/>
  <c r="K18" i="2" s="1"/>
  <c r="K28" i="2" s="1"/>
  <c r="J15" i="2"/>
  <c r="I15" i="2"/>
  <c r="G15" i="2"/>
  <c r="O14" i="2"/>
  <c r="N14" i="2"/>
  <c r="M14" i="2"/>
  <c r="L14" i="2"/>
  <c r="K14" i="2"/>
  <c r="K17" i="2" s="1"/>
  <c r="J14" i="2"/>
  <c r="I14" i="2"/>
  <c r="I16" i="2" s="1"/>
  <c r="H14" i="2"/>
  <c r="H71" i="2" s="1"/>
  <c r="H77" i="2" s="1"/>
  <c r="G14" i="2"/>
  <c r="F14" i="2"/>
  <c r="E14" i="2"/>
  <c r="D14" i="2"/>
  <c r="C14" i="2"/>
  <c r="C17" i="2" s="1"/>
  <c r="C6" i="2"/>
  <c r="O6" i="2" s="1"/>
  <c r="C33" i="1"/>
  <c r="C25" i="1"/>
  <c r="C16" i="2" l="1"/>
  <c r="C71" i="2"/>
  <c r="C77" i="2" s="1"/>
  <c r="C15" i="2"/>
  <c r="C18" i="2" s="1"/>
  <c r="C28" i="2" s="1"/>
  <c r="C10" i="3" s="1"/>
  <c r="O10" i="5"/>
  <c r="P10" i="5"/>
  <c r="L7" i="5" s="1"/>
  <c r="H7" i="5" s="1"/>
  <c r="B7" i="5" s="1"/>
  <c r="F7" i="5"/>
  <c r="C18" i="3"/>
  <c r="F15" i="2"/>
  <c r="F17" i="2"/>
  <c r="F16" i="2"/>
  <c r="F18" i="2" s="1"/>
  <c r="F28" i="2" s="1"/>
  <c r="N15" i="2"/>
  <c r="N18" i="2"/>
  <c r="N28" i="2" s="1"/>
  <c r="N71" i="2"/>
  <c r="N77" i="2" s="1"/>
  <c r="N17" i="2"/>
  <c r="N16" i="2"/>
  <c r="H18" i="2"/>
  <c r="H28" i="2" s="1"/>
  <c r="F71" i="2"/>
  <c r="F77" i="2" s="1"/>
  <c r="L39" i="2"/>
  <c r="L42" i="2"/>
  <c r="L45" i="2"/>
  <c r="L37" i="2"/>
  <c r="L44" i="2"/>
  <c r="L41" i="2"/>
  <c r="L38" i="2"/>
  <c r="L47" i="2" s="1"/>
  <c r="L93" i="2" s="1"/>
  <c r="D19" i="3" s="1"/>
  <c r="L43" i="2"/>
  <c r="C17" i="3"/>
  <c r="H16" i="2"/>
  <c r="H17" i="2"/>
  <c r="H15" i="2"/>
  <c r="E36" i="2"/>
  <c r="N45" i="2"/>
  <c r="N37" i="2"/>
  <c r="N40" i="2"/>
  <c r="N43" i="2"/>
  <c r="N44" i="2"/>
  <c r="N41" i="2"/>
  <c r="N38" i="2"/>
  <c r="N46" i="2"/>
  <c r="M42" i="2"/>
  <c r="M40" i="2"/>
  <c r="M45" i="2"/>
  <c r="M37" i="2"/>
  <c r="M46" i="2"/>
  <c r="M43" i="2"/>
  <c r="M39" i="2"/>
  <c r="M38" i="2"/>
  <c r="M47" i="2" s="1"/>
  <c r="M93" i="2" s="1"/>
  <c r="D20" i="3" s="1"/>
  <c r="N39" i="2"/>
  <c r="M44" i="2"/>
  <c r="I46" i="2"/>
  <c r="I38" i="2"/>
  <c r="I41" i="2"/>
  <c r="I44" i="2"/>
  <c r="J36" i="2"/>
  <c r="F45" i="2"/>
  <c r="F37" i="2"/>
  <c r="F43" i="2"/>
  <c r="F40" i="2"/>
  <c r="F39" i="2"/>
  <c r="F42" i="2"/>
  <c r="D17" i="2"/>
  <c r="D71" i="2"/>
  <c r="D77" i="2" s="1"/>
  <c r="L17" i="2"/>
  <c r="L71" i="2"/>
  <c r="L77" i="2" s="1"/>
  <c r="L18" i="2"/>
  <c r="L28" i="2" s="1"/>
  <c r="C36" i="2"/>
  <c r="K36" i="2"/>
  <c r="G40" i="2"/>
  <c r="G46" i="2"/>
  <c r="G38" i="2"/>
  <c r="G43" i="2"/>
  <c r="F38" i="2"/>
  <c r="G39" i="2"/>
  <c r="F41" i="2"/>
  <c r="G42" i="2"/>
  <c r="G47" i="2" s="1"/>
  <c r="G93" i="2" s="1"/>
  <c r="D14" i="3" s="1"/>
  <c r="F44" i="2"/>
  <c r="G45" i="2"/>
  <c r="E71" i="2"/>
  <c r="E77" i="2" s="1"/>
  <c r="E15" i="2"/>
  <c r="E18" i="2" s="1"/>
  <c r="E28" i="2" s="1"/>
  <c r="M71" i="2"/>
  <c r="M77" i="2" s="1"/>
  <c r="M15" i="2"/>
  <c r="M18" i="2"/>
  <c r="M28" i="2" s="1"/>
  <c r="D47" i="2"/>
  <c r="D93" i="2" s="1"/>
  <c r="D11" i="3" s="1"/>
  <c r="H43" i="2"/>
  <c r="H46" i="2"/>
  <c r="H38" i="2"/>
  <c r="H41" i="2"/>
  <c r="I37" i="2"/>
  <c r="I47" i="2" s="1"/>
  <c r="I93" i="2" s="1"/>
  <c r="D16" i="3" s="1"/>
  <c r="H39" i="2"/>
  <c r="I40" i="2"/>
  <c r="G41" i="2"/>
  <c r="H42" i="2"/>
  <c r="I43" i="2"/>
  <c r="G44" i="2"/>
  <c r="H45" i="2"/>
  <c r="F46" i="2"/>
  <c r="G18" i="2"/>
  <c r="G28" i="2" s="1"/>
  <c r="O18" i="2"/>
  <c r="O28" i="2" s="1"/>
  <c r="L15" i="2"/>
  <c r="G71" i="2"/>
  <c r="G77" i="2" s="1"/>
  <c r="D15" i="2"/>
  <c r="I18" i="2"/>
  <c r="I28" i="2" s="1"/>
  <c r="D39" i="2"/>
  <c r="D42" i="2"/>
  <c r="D45" i="2"/>
  <c r="D37" i="2"/>
  <c r="O40" i="2"/>
  <c r="O43" i="2"/>
  <c r="O46" i="2"/>
  <c r="O38" i="2"/>
  <c r="O39" i="2"/>
  <c r="O42" i="2"/>
  <c r="O47" i="2" s="1"/>
  <c r="O93" i="2" s="1"/>
  <c r="D6" i="3" s="1"/>
  <c r="O45" i="2"/>
  <c r="I71" i="2"/>
  <c r="I77" i="2" s="1"/>
  <c r="N7" i="5" l="1"/>
  <c r="C13" i="3"/>
  <c r="C12" i="3"/>
  <c r="C6" i="3"/>
  <c r="O95" i="2"/>
  <c r="E6" i="3" s="1"/>
  <c r="J41" i="2"/>
  <c r="J39" i="2"/>
  <c r="J44" i="2"/>
  <c r="J45" i="2"/>
  <c r="J42" i="2"/>
  <c r="J38" i="2"/>
  <c r="J40" i="2"/>
  <c r="J37" i="2"/>
  <c r="J46" i="2"/>
  <c r="J43" i="2"/>
  <c r="C21" i="3"/>
  <c r="C16" i="3"/>
  <c r="I95" i="2"/>
  <c r="E16" i="3" s="1"/>
  <c r="D18" i="2"/>
  <c r="D28" i="2" s="1"/>
  <c r="C44" i="2"/>
  <c r="C42" i="2"/>
  <c r="C39" i="2"/>
  <c r="C41" i="2"/>
  <c r="C38" i="2"/>
  <c r="C45" i="2"/>
  <c r="C43" i="2"/>
  <c r="C37" i="2"/>
  <c r="C46" i="2"/>
  <c r="C40" i="2"/>
  <c r="E42" i="2"/>
  <c r="E45" i="2"/>
  <c r="E37" i="2"/>
  <c r="E40" i="2"/>
  <c r="E46" i="2"/>
  <c r="E43" i="2"/>
  <c r="E44" i="2"/>
  <c r="E41" i="2"/>
  <c r="E38" i="2"/>
  <c r="E39" i="2"/>
  <c r="C14" i="3"/>
  <c r="G95" i="2"/>
  <c r="E14" i="3" s="1"/>
  <c r="K44" i="2"/>
  <c r="K39" i="2"/>
  <c r="K42" i="2"/>
  <c r="K46" i="2"/>
  <c r="K43" i="2"/>
  <c r="K40" i="2"/>
  <c r="K37" i="2"/>
  <c r="K41" i="2"/>
  <c r="K45" i="2"/>
  <c r="K38" i="2"/>
  <c r="H47" i="2"/>
  <c r="H93" i="2" s="1"/>
  <c r="D15" i="3" s="1"/>
  <c r="H95" i="2"/>
  <c r="E15" i="3" s="1"/>
  <c r="C15" i="3"/>
  <c r="C20" i="3"/>
  <c r="M95" i="2"/>
  <c r="E20" i="3" s="1"/>
  <c r="N47" i="2"/>
  <c r="N93" i="2" s="1"/>
  <c r="D21" i="3" s="1"/>
  <c r="L95" i="2"/>
  <c r="E19" i="3" s="1"/>
  <c r="C19" i="3"/>
  <c r="F47" i="2"/>
  <c r="F93" i="2" s="1"/>
  <c r="D13" i="3" s="1"/>
  <c r="C47" i="2" l="1"/>
  <c r="C93" i="2" s="1"/>
  <c r="E47" i="2"/>
  <c r="E93" i="2" s="1"/>
  <c r="N95" i="2"/>
  <c r="E21" i="3" s="1"/>
  <c r="F95" i="2"/>
  <c r="E13" i="3" s="1"/>
  <c r="J47" i="2"/>
  <c r="J93" i="2" s="1"/>
  <c r="D95" i="2"/>
  <c r="E11" i="3" s="1"/>
  <c r="C11" i="3"/>
  <c r="K47" i="2"/>
  <c r="K93" i="2" s="1"/>
  <c r="D18" i="3" l="1"/>
  <c r="K95" i="2"/>
  <c r="E18" i="3" s="1"/>
  <c r="D17" i="3"/>
  <c r="J95" i="2"/>
  <c r="E17" i="3" s="1"/>
  <c r="D12" i="3"/>
  <c r="E95" i="2"/>
  <c r="E12" i="3" s="1"/>
  <c r="D10" i="3"/>
  <c r="C95" i="2"/>
  <c r="E10" i="3" l="1"/>
  <c r="C96" i="2"/>
  <c r="F10" i="3" l="1"/>
  <c r="D6" i="2"/>
  <c r="D96" i="2" s="1"/>
  <c r="F11" i="3" l="1"/>
  <c r="E6" i="2"/>
  <c r="E96" i="2" s="1"/>
  <c r="F6" i="2" l="1"/>
  <c r="F96" i="2" s="1"/>
  <c r="F12" i="3"/>
  <c r="G6" i="2" l="1"/>
  <c r="G96" i="2" s="1"/>
  <c r="F13" i="3"/>
  <c r="H6" i="2" l="1"/>
  <c r="H96" i="2" s="1"/>
  <c r="F14" i="3"/>
  <c r="I6" i="2" l="1"/>
  <c r="I96" i="2" s="1"/>
  <c r="F15" i="3"/>
  <c r="F16" i="3" l="1"/>
  <c r="J6" i="2"/>
  <c r="J96" i="2" s="1"/>
  <c r="K6" i="2" l="1"/>
  <c r="K96" i="2" s="1"/>
  <c r="F17" i="3"/>
  <c r="F18" i="3" l="1"/>
  <c r="L6" i="2"/>
  <c r="L96" i="2" s="1"/>
  <c r="M6" i="2" l="1"/>
  <c r="M96" i="2" s="1"/>
  <c r="F19" i="3"/>
  <c r="N6" i="2" l="1"/>
  <c r="N96" i="2" s="1"/>
  <c r="F20" i="3"/>
  <c r="O96" i="2" l="1"/>
  <c r="F6" i="3" s="1"/>
  <c r="F21" i="3"/>
</calcChain>
</file>

<file path=xl/sharedStrings.xml><?xml version="1.0" encoding="utf-8"?>
<sst xmlns="http://schemas.openxmlformats.org/spreadsheetml/2006/main" count="334" uniqueCount="256">
  <si>
    <t>SUPUESTOS Y PARÁMETROS</t>
  </si>
  <si>
    <t>Pyme SAS - Empresa de Servicios | Contexto tributario colombiano 2026</t>
  </si>
  <si>
    <t>→ Flujo de Caja</t>
  </si>
  <si>
    <t>→ Dashboard</t>
  </si>
  <si>
    <t>→ Calendario Tributario</t>
  </si>
  <si>
    <t>→ Control de Cartera</t>
  </si>
  <si>
    <t>PARÁMETROS GENERALES</t>
  </si>
  <si>
    <t>Concepto</t>
  </si>
  <si>
    <t>Valor</t>
  </si>
  <si>
    <t>Notas / Referencia</t>
  </si>
  <si>
    <t>Saldo inicial de caja (COP)</t>
  </si>
  <si>
    <t>Saldo en bancos al inicio del período</t>
  </si>
  <si>
    <t>Número de empleados</t>
  </si>
  <si>
    <t>Planta de personal fija</t>
  </si>
  <si>
    <t>Salario promedio mensual (COP)</t>
  </si>
  <si>
    <t>Salario base promedio</t>
  </si>
  <si>
    <t>Tarifa IVA general</t>
  </si>
  <si>
    <t>Art. 468 E.T. — Tarifa general 19%</t>
  </si>
  <si>
    <t>% Clientes con retención en la fuente</t>
  </si>
  <si>
    <t>Proporción de clientes que practican retención</t>
  </si>
  <si>
    <t>Tarifa retención en la fuente (servicios)</t>
  </si>
  <si>
    <t>Art. 392 E.T. — Servicios generales 4%</t>
  </si>
  <si>
    <t>Tarifa retención de ICA (Bogotá, servicios)</t>
  </si>
  <si>
    <t>Varía según municipio y actividad</t>
  </si>
  <si>
    <t>Tarifa autorretención renta</t>
  </si>
  <si>
    <t>Decreto 2201/2016 — 0.80%</t>
  </si>
  <si>
    <t>APORTES PARAFISCALES Y SEGURIDAD SOCIAL (% sobre salario)</t>
  </si>
  <si>
    <t>% Empleador</t>
  </si>
  <si>
    <t>Referencia legal</t>
  </si>
  <si>
    <t>Salud (EPS)</t>
  </si>
  <si>
    <t>Ley 1122/2007 — 8.5% empleador</t>
  </si>
  <si>
    <t>Pensión (AFP)</t>
  </si>
  <si>
    <t>Ley 797/2003 — 12% empleador</t>
  </si>
  <si>
    <t>ARL (Riesgo I - Servicios)</t>
  </si>
  <si>
    <t>Decreto 1295/1994 — Riesgo I</t>
  </si>
  <si>
    <t>Caja de Compensación</t>
  </si>
  <si>
    <t>Ley 21/1982 — 4%</t>
  </si>
  <si>
    <t>ICBF</t>
  </si>
  <si>
    <t>Ley 89/1988 — 3% (si aplica, &gt;10 SMMLV nómina)</t>
  </si>
  <si>
    <t>SENA</t>
  </si>
  <si>
    <t>Ley 21/1982 — 2% (si aplica, &gt;10 SMMLV nómina)</t>
  </si>
  <si>
    <t>TOTAL CARGA PATRONAL</t>
  </si>
  <si>
    <t>PRESTACIONES SOCIALES (% sobre salario)</t>
  </si>
  <si>
    <t>% Provisión</t>
  </si>
  <si>
    <t>Cesantías</t>
  </si>
  <si>
    <t>CST Art. 249 — 8.33%</t>
  </si>
  <si>
    <t>Intereses sobre cesantías</t>
  </si>
  <si>
    <t>Ley 52/1975 — 1% (12% anual / 12)</t>
  </si>
  <si>
    <t>Prima de servicios</t>
  </si>
  <si>
    <t>CST Art. 306 — 8.33%</t>
  </si>
  <si>
    <t>Vacaciones</t>
  </si>
  <si>
    <t>CST Art. 186 — 4.17%</t>
  </si>
  <si>
    <t>TOTAL PROVISIÓN PRESTACIONES</t>
  </si>
  <si>
    <t>Nota: Las celdas en azul son datos de entrada editables. Modifique los valores según su empresa.</t>
  </si>
  <si>
    <t>Generado: 2026-04-02 | Fuente: Estatuto Tributario Colombia, CST, normativa vigente 2026</t>
  </si>
  <si>
    <t>FLUJO DE CAJA PROYECTADO — PYME SAS (SERVICIOS)</t>
  </si>
  <si>
    <t>Proyección mensual 12 meses | Cifras en COP | Período: Abril 2026 – Marzo 2027</t>
  </si>
  <si>
    <t>→ Supuestos</t>
  </si>
  <si>
    <t>CONCEPTO</t>
  </si>
  <si>
    <t>Abr-26</t>
  </si>
  <si>
    <t>May-26</t>
  </si>
  <si>
    <t>Jun-26</t>
  </si>
  <si>
    <t>Jul-26</t>
  </si>
  <si>
    <t>Ago-26</t>
  </si>
  <si>
    <t>Sep-26</t>
  </si>
  <si>
    <t>Oct-26</t>
  </si>
  <si>
    <t>Nov-26</t>
  </si>
  <si>
    <t>Dic-26</t>
  </si>
  <si>
    <t>Ene-27</t>
  </si>
  <si>
    <t>Feb-27</t>
  </si>
  <si>
    <t>Mar-27</t>
  </si>
  <si>
    <t>TOTAL ANUAL</t>
  </si>
  <si>
    <t>SALDO INICIAL DE CAJA</t>
  </si>
  <si>
    <t>A. INGRESOS OPERACIONALES</t>
  </si>
  <si>
    <t>A1. Recaudo por servicios prestados</t>
  </si>
  <si>
    <t>Servicios de consultoría</t>
  </si>
  <si>
    <t>Servicios profesionales / outsourcing</t>
  </si>
  <si>
    <t>Capacitaciones y formación</t>
  </si>
  <si>
    <t>Otros servicios</t>
  </si>
  <si>
    <t>Subtotal Ingresos Brutos (sin IVA)</t>
  </si>
  <si>
    <t>(+) IVA cobrado sobre servicios (19%)</t>
  </si>
  <si>
    <t>(-) Retención en la fuente practicada por clientes</t>
  </si>
  <si>
    <t>(-) Retención de ICA practicada por clientes</t>
  </si>
  <si>
    <t>TOTAL INGRESOS RECIBIDOS EN EFECTIVO</t>
  </si>
  <si>
    <t>A2. Otros ingresos de efectivo</t>
  </si>
  <si>
    <t>Rendimientos financieros</t>
  </si>
  <si>
    <t>Recuperación de cartera vencida</t>
  </si>
  <si>
    <t>Préstamos / créditos recibidos</t>
  </si>
  <si>
    <t>Aportes de socios</t>
  </si>
  <si>
    <t>Otros ingresos no operacionales</t>
  </si>
  <si>
    <t>TOTAL OTROS INGRESOS</t>
  </si>
  <si>
    <t>═ TOTAL ENTRADAS DE EFECTIVO</t>
  </si>
  <si>
    <t>B. EGRESOS (SALIDAS DE EFECTIVO)</t>
  </si>
  <si>
    <t>B1. Nómina y carga laboral</t>
  </si>
  <si>
    <t>Salarios base</t>
  </si>
  <si>
    <t>Auxilio de transporte</t>
  </si>
  <si>
    <t>Horas extras y recargos</t>
  </si>
  <si>
    <t>Comisiones e incentivos</t>
  </si>
  <si>
    <t>Base salarial para aportes</t>
  </si>
  <si>
    <t>Salud (EPS) — 8.5%</t>
  </si>
  <si>
    <t>Pensión (AFP) — 12%</t>
  </si>
  <si>
    <t>ARL — Riesgo I</t>
  </si>
  <si>
    <t>Caja de Compensación — 4%</t>
  </si>
  <si>
    <t>ICBF — 3%</t>
  </si>
  <si>
    <t>SENA — 2%</t>
  </si>
  <si>
    <t>Cesantías — 8.33%</t>
  </si>
  <si>
    <t>Intereses sobre cesantías — 1%</t>
  </si>
  <si>
    <t>Prima de servicios — 8.33%</t>
  </si>
  <si>
    <t>Vacaciones — 4.17%</t>
  </si>
  <si>
    <t>TOTAL NÓMINA Y CARGA LABORAL</t>
  </si>
  <si>
    <t>B2. Gastos operativos</t>
  </si>
  <si>
    <t>Arriendo oficina / coworking</t>
  </si>
  <si>
    <t>Servicios públicos (agua, luz, gas)</t>
  </si>
  <si>
    <t>Internet y telecomunicaciones</t>
  </si>
  <si>
    <t>Software y licencias (SaaS)</t>
  </si>
  <si>
    <t>Papelería y suministros de oficina</t>
  </si>
  <si>
    <t>Mantenimiento y reparaciones</t>
  </si>
  <si>
    <t>Seguros (pólizas empresariales)</t>
  </si>
  <si>
    <t>Vigilancia y seguridad</t>
  </si>
  <si>
    <t>Aseo y cafetería</t>
  </si>
  <si>
    <t>Transporte y viáticos</t>
  </si>
  <si>
    <t>TOTAL GASTOS OPERATIVOS</t>
  </si>
  <si>
    <t>B3. Gastos comerciales y marketing</t>
  </si>
  <si>
    <t>Publicidad y pauta digital</t>
  </si>
  <si>
    <t>Eventos y networking</t>
  </si>
  <si>
    <t>Material promocional</t>
  </si>
  <si>
    <t>Comisiones de venta a terceros</t>
  </si>
  <si>
    <t>TOTAL GASTOS COMERCIALES</t>
  </si>
  <si>
    <t>B4. Obligaciones tributarias</t>
  </si>
  <si>
    <t>IVA por pagar (diferencia cobrado - pagado)</t>
  </si>
  <si>
    <t>Autorretención de renta</t>
  </si>
  <si>
    <t>Retención en la fuente (como agente retenedor)</t>
  </si>
  <si>
    <t>Retención de ICA (como agente retenedor)</t>
  </si>
  <si>
    <t>ICA bimestral</t>
  </si>
  <si>
    <t>Impuesto de renta (anticipos / cuotas)</t>
  </si>
  <si>
    <t>GMF (4x1000)</t>
  </si>
  <si>
    <t>TOTAL OBLIGACIONES TRIBUTARIAS</t>
  </si>
  <si>
    <t>B5. Gastos financieros</t>
  </si>
  <si>
    <t>Cuota crédito bancario (capital + intereses)</t>
  </si>
  <si>
    <t>Comisiones bancarias</t>
  </si>
  <si>
    <t>Intereses tarjeta de crédito empresarial</t>
  </si>
  <si>
    <t>Leasing / arrendamiento financiero</t>
  </si>
  <si>
    <t>TOTAL GASTOS FINANCIEROS</t>
  </si>
  <si>
    <t>B6. Inversiones y CAPEX</t>
  </si>
  <si>
    <t>Equipos de cómputo</t>
  </si>
  <si>
    <t>Mobiliario y adecuaciones</t>
  </si>
  <si>
    <t>Inversión en tecnología / desarrollo</t>
  </si>
  <si>
    <t>Otras inversiones</t>
  </si>
  <si>
    <t>TOTAL INVERSIONES / CAPEX</t>
  </si>
  <si>
    <t>═ TOTAL SALIDAS DE EFECTIVO</t>
  </si>
  <si>
    <t>═ FLUJO NETO DEL PERÍODO</t>
  </si>
  <si>
    <t>═ SALDO FINAL DE CAJA</t>
  </si>
  <si>
    <t>Nota: Las celdas en azul con fondo amarillo son datos de entrada. Las celdas en negro son fórmulas calculadas automáticamente.</t>
  </si>
  <si>
    <t>Fuente: Normativa tributaria colombiana vigente (E.T., CST, Decretos reglamentarios). Los porcentajes de retención y aportes pueden variar según la actividad y el municipio.</t>
  </si>
  <si>
    <t>DASHBOARD — RESUMEN FLUJO DE CAJA</t>
  </si>
  <si>
    <t>Indicadores clave del período Abril 2026 – Marzo 2027</t>
  </si>
  <si>
    <t>Saldo Inicial</t>
  </si>
  <si>
    <t>Total Entradas (Anual)</t>
  </si>
  <si>
    <t>Total Salidas (Anual)</t>
  </si>
  <si>
    <t>Flujo Neto (Anual)</t>
  </si>
  <si>
    <t>Saldo Final Proyectado</t>
  </si>
  <si>
    <t>RESUMEN MENSUAL</t>
  </si>
  <si>
    <t>Mes</t>
  </si>
  <si>
    <t>Entradas</t>
  </si>
  <si>
    <t>Salidas</t>
  </si>
  <si>
    <t>Flujo Neto</t>
  </si>
  <si>
    <t>Saldo Final</t>
  </si>
  <si>
    <t>CALENDARIO TRIBUTARIO 2026–2027 — WE4LABS S.A.S.</t>
  </si>
  <si>
    <t>Domicilio: Cali | Actividad: Servicios de tecnología | Fuente: DIAN y Alcaldía de Cali (Res. 4131.010.1.0607/2025)</t>
  </si>
  <si>
    <t>→ Cartera</t>
  </si>
  <si>
    <t>⚙  INSTRUCCIÓN: Ingresa el último dígito de tu NIT (sin dígito de verificación) en la celda amarilla para que las fechas se ajusten automáticamente.</t>
  </si>
  <si>
    <t>Último dígito NIT:</t>
  </si>
  <si>
    <t>Ingresa 0, 1, 2 … 9  (sin dígito de verificación). Ejemplo: NIT 900.123.456-7 → ingresa 6</t>
  </si>
  <si>
    <t>CONVENCIONES</t>
  </si>
  <si>
    <t>VENCIDO</t>
  </si>
  <si>
    <t>PRÓXIMO (≤7 días)</t>
  </si>
  <si>
    <t>AL DÍA</t>
  </si>
  <si>
    <t>PAGADO</t>
  </si>
  <si>
    <t>Obligación</t>
  </si>
  <si>
    <t>Período cubierto</t>
  </si>
  <si>
    <t>Fecha límite</t>
  </si>
  <si>
    <t>Estado</t>
  </si>
  <si>
    <t>Fecha pago real</t>
  </si>
  <si>
    <t>Valor COP</t>
  </si>
  <si>
    <t>Notas / Formulario</t>
  </si>
  <si>
    <t>Feb-26</t>
  </si>
  <si>
    <t>Retención en la fuente</t>
  </si>
  <si>
    <t>Feb-26 (por Ene)</t>
  </si>
  <si>
    <t>Formulario 350 — DIAN. Presentar aunque no haya retenciones del mes.</t>
  </si>
  <si>
    <t>Mar-26</t>
  </si>
  <si>
    <t>Mar-26 (por Feb)</t>
  </si>
  <si>
    <t>Renovación Matrícula Mercantil</t>
  </si>
  <si>
    <t>Vigencia 2026</t>
  </si>
  <si>
    <t>31-mar-26</t>
  </si>
  <si>
    <t>Cámara de Comercio de Cali. Antes del 31 de marzo. Si aplica Ley 1780: $0 primer año.</t>
  </si>
  <si>
    <t>Asamblea General de Accionistas</t>
  </si>
  <si>
    <t>Año 2025</t>
  </si>
  <si>
    <t>CST Art. 422. Reunión ordinaria antes del 31 de marzo. Aprobar estados financieros y acta firmada.</t>
  </si>
  <si>
    <t>Abr-26 (por Mar)</t>
  </si>
  <si>
    <t>May-26 (por Abr)</t>
  </si>
  <si>
    <t>IVA cuatrimestral (responsable régimen común)</t>
  </si>
  <si>
    <t>Ene–Abr 2026</t>
  </si>
  <si>
    <t>Formulario 300 — DIAN. Empresa nueva/pequeña: periocidad cuatrimestral si ingresos &lt; $4.329M.</t>
  </si>
  <si>
    <t>Impuesto de Renta — Personas Jurídicas</t>
  </si>
  <si>
    <t>Año gravable 2025 — 1ª cuota + declaración</t>
  </si>
  <si>
    <t>Formulario 110. Primera cuota y presentación declaración de renta.</t>
  </si>
  <si>
    <t>ICA Cali — Declaración anual (Año gravable 2025)</t>
  </si>
  <si>
    <t>Año gravable 2025</t>
  </si>
  <si>
    <t>04-may-26</t>
  </si>
  <si>
    <t>Alcaldía Cali. Ingresos &lt; 32.998 UVT → declaración anual. Formulario municipal.</t>
  </si>
  <si>
    <t>Jun-26 (por May)</t>
  </si>
  <si>
    <t>Jul-26 (por Jun)</t>
  </si>
  <si>
    <t>Año gravable 2025 — 2ª cuota</t>
  </si>
  <si>
    <t>Pago segunda cuota impuesto de renta. Formulario 490.</t>
  </si>
  <si>
    <t>Información exógena municipal — Cali</t>
  </si>
  <si>
    <t>22-jul-26</t>
  </si>
  <si>
    <t>Alcaldía Cali. Aplica si ingresos ≥ 3.500 UVT al 31-dic-2025. Plazos 22 jul – 14 ago 2026.</t>
  </si>
  <si>
    <t>Ago-26 (por Jul)</t>
  </si>
  <si>
    <t>Sep-26 (por Ago)</t>
  </si>
  <si>
    <t>May–Ago 2026</t>
  </si>
  <si>
    <t>Oct-26 (por Sep)</t>
  </si>
  <si>
    <t>Nov-26 (por Oct)</t>
  </si>
  <si>
    <t>Dic-26 (por Nov)</t>
  </si>
  <si>
    <t>Ene-27 (por Dic)</t>
  </si>
  <si>
    <t>Sep–Dic 2026</t>
  </si>
  <si>
    <t>TOTAL ESTIMADO OBLIGACIONES TRIBUTARIAS (anual)</t>
  </si>
  <si>
    <t>Fuentes: DIAN — Decreto 2229/2023 y Resolución 000165/2023 | Alcaldía de Cali — Resolución 4131.010.1.0607/2025 | Código Sustantivo del Trabajo</t>
  </si>
  <si>
    <t>Generado: 2026-04-03 | Ingresa 'PAGADO' en la columna Estado para marcar una obligación como cumplida.</t>
  </si>
  <si>
    <t>CONTROL DE CARTERA / CUENTAS POR COBRAR — WE4LABS S.A.S.</t>
  </si>
  <si>
    <t>Seguimiento a facturas emitidas, recaudo efectivo y antigüedad de cartera</t>
  </si>
  <si>
    <t>Total facturado (bruto)</t>
  </si>
  <si>
    <t>Total IVA cobrado</t>
  </si>
  <si>
    <t>Total retenciones desc.</t>
  </si>
  <si>
    <t>Neto por cobrar</t>
  </si>
  <si>
    <t>Total recaudado</t>
  </si>
  <si>
    <t>Cartera vigente</t>
  </si>
  <si>
    <t>Cartera vencida</t>
  </si>
  <si>
    <t>#</t>
  </si>
  <si>
    <t>Cliente</t>
  </si>
  <si>
    <t>Descripción del servicio</t>
  </si>
  <si>
    <t>N° Factura</t>
  </si>
  <si>
    <t>Fecha emisión</t>
  </si>
  <si>
    <t>Fecha vencimiento</t>
  </si>
  <si>
    <t>Valor bruto</t>
  </si>
  <si>
    <t>IVA cobrado (19%)</t>
  </si>
  <si>
    <t>Retefuente desc.</t>
  </si>
  <si>
    <t>ReteICA desc.</t>
  </si>
  <si>
    <t>Neto a cobrar</t>
  </si>
  <si>
    <t>Pagado</t>
  </si>
  <si>
    <t>Saldo pendiente</t>
  </si>
  <si>
    <t>Días vencidos</t>
  </si>
  <si>
    <t>Observaciones</t>
  </si>
  <si>
    <t>Estados: VIGENTE = dentro del plazo | VENCIDA = 1–30 días de mora | CRÍTICA = 31–90 días | CASTIGAR = +90 días (considerar provisión cartera incobrable per E.T. Art. 145)</t>
  </si>
  <si>
    <t>Nota: Las retenciones descontadas (col. J y K) son estimadas con las tarifas de Supuestos. Verifique el detalle por factura con su contador.</t>
  </si>
  <si>
    <t>Stratech</t>
  </si>
  <si>
    <t>desarrollo de softaware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</si>
</sst>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;\-"/>
    <numFmt numFmtId="165" formatCode="0.0%"/>
    <numFmt numFmtId="166" formatCode="dd/mm/yyyy"/>
  </numFmts>
  <fonts count="20" x14ac:knownFonts="1">
    <font>
      <sz val="11"/>
      <color theme="1"/>
      <name val="Calibri"/>
      <family val="2"/>
      <charset val="1"/>
    </font>
    <font>
      <b/>
      <sz val="16"/>
      <color rgb="FF01696F"/>
      <name val="Calibri"/>
      <family val="2"/>
    </font>
    <font>
      <sz val="11"/>
      <color rgb="FF7A7974"/>
      <name val="Calibri"/>
      <family val="2"/>
    </font>
    <font>
      <u/>
      <sz val="10"/>
      <color rgb="FF0000FF"/>
      <name val="Calibri"/>
      <family val="2"/>
    </font>
    <font>
      <b/>
      <sz val="11"/>
      <color rgb="FF01696F"/>
      <name val="Calibri"/>
      <family val="2"/>
    </font>
    <font>
      <b/>
      <sz val="11"/>
      <color rgb="FFFFFFFF"/>
      <name val="Calibri"/>
      <family val="2"/>
    </font>
    <font>
      <sz val="10"/>
      <color rgb="FF28251D"/>
      <name val="Calibri"/>
      <family val="2"/>
    </font>
    <font>
      <sz val="10"/>
      <color rgb="FF0000FF"/>
      <name val="Calibri"/>
      <family val="2"/>
    </font>
    <font>
      <i/>
      <sz val="9"/>
      <color rgb="FF7A7974"/>
      <name val="Calibri"/>
      <family val="2"/>
    </font>
    <font>
      <b/>
      <sz val="10"/>
      <color rgb="FF28251D"/>
      <name val="Calibri"/>
      <family val="2"/>
    </font>
    <font>
      <i/>
      <sz val="9"/>
      <color rgb="FF0000FF"/>
      <name val="Calibri"/>
      <family val="2"/>
    </font>
    <font>
      <b/>
      <sz val="10"/>
      <color rgb="FF008000"/>
      <name val="Calibri"/>
      <family val="2"/>
    </font>
    <font>
      <b/>
      <sz val="14"/>
      <color rgb="FF01696F"/>
      <name val="Calibri"/>
      <family val="2"/>
    </font>
    <font>
      <b/>
      <sz val="10"/>
      <color rgb="FF01696F"/>
      <name val="Calibri"/>
      <family val="2"/>
    </font>
    <font>
      <b/>
      <sz val="10"/>
      <color rgb="FFC0392B"/>
      <name val="Calibri"/>
      <family val="2"/>
    </font>
    <font>
      <b/>
      <sz val="10"/>
      <color rgb="FFE67E22"/>
      <name val="Calibri"/>
      <family val="2"/>
    </font>
    <font>
      <b/>
      <sz val="10"/>
      <color rgb="FF27AE60"/>
      <name val="Calibri"/>
      <family val="2"/>
    </font>
    <font>
      <b/>
      <sz val="10"/>
      <color rgb="FF7A7974"/>
      <name val="Calibri"/>
      <family val="2"/>
    </font>
    <font>
      <b/>
      <sz val="10"/>
      <color rgb="FFFFFFFF"/>
      <name val="Calibri"/>
      <family val="2"/>
    </font>
    <font>
      <b/>
      <sz val="13"/>
      <color rgb="FF01696F"/>
      <name val="Calibri"/>
      <family val="2"/>
    </font>
  </fonts>
  <fills count="19">
    <fill>
      <patternFill patternType="none"/>
    </fill>
    <fill>
      <patternFill patternType="gray125"/>
    </fill>
    <fill>
      <patternFill patternType="solid">
        <fgColor rgb="FFE8F4F5"/>
        <bgColor rgb="FFEAF4EC"/>
      </patternFill>
    </fill>
    <fill>
      <patternFill patternType="solid">
        <fgColor rgb="FF01696F"/>
        <bgColor rgb="FF006494"/>
      </patternFill>
    </fill>
    <fill>
      <patternFill patternType="solid">
        <fgColor rgb="FFFFF8E1"/>
        <bgColor rgb="FFFFF3E0"/>
      </patternFill>
    </fill>
    <fill>
      <patternFill patternType="solid">
        <fgColor rgb="FFD0E8EA"/>
        <bgColor rgb="FFD9D9D9"/>
      </patternFill>
    </fill>
    <fill>
      <patternFill patternType="solid">
        <fgColor rgb="FFF0F7F8"/>
        <bgColor rgb="FFF4F4F4"/>
      </patternFill>
    </fill>
    <fill>
      <patternFill patternType="solid">
        <fgColor rgb="FFFDECEA"/>
        <bgColor rgb="FFFEF3E2"/>
      </patternFill>
    </fill>
    <fill>
      <patternFill patternType="solid">
        <fgColor rgb="FFFEF3E2"/>
        <bgColor rgb="FFFFF3E0"/>
      </patternFill>
    </fill>
    <fill>
      <patternFill patternType="solid">
        <fgColor rgb="FFEAF4EC"/>
        <bgColor rgb="FFE8F5E9"/>
      </patternFill>
    </fill>
    <fill>
      <patternFill patternType="solid">
        <fgColor rgb="FFF4F4F4"/>
        <bgColor rgb="FFF0F7F8"/>
      </patternFill>
    </fill>
    <fill>
      <patternFill patternType="solid">
        <fgColor rgb="FFEAF4FF"/>
        <bgColor rgb="FFE8F4F5"/>
      </patternFill>
    </fill>
    <fill>
      <patternFill patternType="solid">
        <fgColor rgb="FFFFF9C4"/>
        <bgColor rgb="FFFFF8E1"/>
      </patternFill>
    </fill>
    <fill>
      <patternFill patternType="solid">
        <fgColor rgb="FFFCE4EC"/>
        <bgColor rgb="FFF3E5F5"/>
      </patternFill>
    </fill>
    <fill>
      <patternFill patternType="solid">
        <fgColor rgb="FFFFF3E0"/>
        <bgColor rgb="FFFEF3E2"/>
      </patternFill>
    </fill>
    <fill>
      <patternFill patternType="solid">
        <fgColor rgb="FFF3E5F5"/>
        <bgColor rgb="FFFCE4EC"/>
      </patternFill>
    </fill>
    <fill>
      <patternFill patternType="solid">
        <fgColor rgb="FFE8F5E9"/>
        <bgColor rgb="FFEAF4EC"/>
      </patternFill>
    </fill>
    <fill>
      <patternFill patternType="solid">
        <fgColor rgb="FFE0F7FA"/>
        <bgColor rgb="FFE8F4F5"/>
      </patternFill>
    </fill>
    <fill>
      <patternFill patternType="solid">
        <fgColor rgb="FFFFFFFF"/>
        <bgColor rgb="FFF9F9F9"/>
      </patternFill>
    </fill>
  </fills>
  <borders count="2">
    <border>
      <left/>
      <right/>
      <top/>
      <bottom/>
      <diagonal/>
    </border>
    <border>
      <left style="thin">
        <color rgb="FFD4D1CA"/>
      </left>
      <right style="thin">
        <color rgb="FFD4D1CA"/>
      </right>
      <top style="thin">
        <color rgb="FFD4D1CA"/>
      </top>
      <bottom style="thin">
        <color rgb="FFD4D1CA"/>
      </bottom>
      <diagonal/>
    </border>
  </borders>
  <cellStyleXfs count="1">
    <xf numFmtId="0" fontId="0" fillId="0" borderId="0"/>
  </cellStyleXfs>
  <cellXfs count="80">
    <xf numFmtId="0" fontId="0" fillId="0" borderId="0" xfId="0"/>
    <xf numFmtId="0" fontId="16" fillId="9" borderId="1" xfId="0" applyFont="1" applyFill="1" applyBorder="1" applyAlignment="1">
      <alignment horizontal="center" vertical="center"/>
    </xf>
    <xf numFmtId="0" fontId="15" fillId="8" borderId="1" xfId="0" applyFont="1" applyFill="1" applyBorder="1" applyAlignment="1">
      <alignment horizontal="center" vertical="center"/>
    </xf>
    <xf numFmtId="0" fontId="14" fillId="7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left" vertical="center" indent="1"/>
    </xf>
    <xf numFmtId="0" fontId="8" fillId="0" borderId="0" xfId="0" applyFont="1" applyAlignment="1">
      <alignment horizontal="left" vertical="center" wrapText="1" indent="1"/>
    </xf>
    <xf numFmtId="0" fontId="13" fillId="0" borderId="0" xfId="0" applyFont="1" applyAlignment="1">
      <alignment horizontal="left" vertical="center" wrapText="1" indent="1"/>
    </xf>
    <xf numFmtId="0" fontId="2" fillId="0" borderId="0" xfId="0" applyFont="1" applyAlignment="1">
      <alignment horizontal="left" vertical="center" indent="1"/>
    </xf>
    <xf numFmtId="0" fontId="8" fillId="0" borderId="0" xfId="0" applyFont="1"/>
    <xf numFmtId="0" fontId="10" fillId="0" borderId="0" xfId="0" applyFont="1"/>
    <xf numFmtId="0" fontId="4" fillId="2" borderId="1" xfId="0" applyFont="1" applyFill="1" applyBorder="1"/>
    <xf numFmtId="0" fontId="2" fillId="0" borderId="0" xfId="0" applyFont="1"/>
    <xf numFmtId="0" fontId="1" fillId="0" borderId="0" xfId="0" applyFont="1" applyAlignment="1">
      <alignment horizontal="left" vertical="center" indent="1"/>
    </xf>
    <xf numFmtId="0" fontId="3" fillId="0" borderId="0" xfId="0" applyFont="1"/>
    <xf numFmtId="0" fontId="4" fillId="2" borderId="1" xfId="0" applyFont="1" applyFill="1" applyBorder="1"/>
    <xf numFmtId="0" fontId="5" fillId="3" borderId="1" xfId="0" applyFont="1" applyFill="1" applyBorder="1" applyAlignment="1">
      <alignment horizontal="center" vertical="center"/>
    </xf>
    <xf numFmtId="0" fontId="6" fillId="0" borderId="1" xfId="0" applyFont="1" applyBorder="1" applyAlignment="1">
      <alignment horizontal="left" vertical="center" indent="1"/>
    </xf>
    <xf numFmtId="164" fontId="7" fillId="4" borderId="1" xfId="0" applyNumberFormat="1" applyFont="1" applyFill="1" applyBorder="1" applyAlignment="1">
      <alignment horizontal="right" vertical="center"/>
    </xf>
    <xf numFmtId="0" fontId="8" fillId="0" borderId="1" xfId="0" applyFont="1" applyBorder="1" applyAlignment="1">
      <alignment horizontal="left" vertical="center" wrapText="1" indent="1"/>
    </xf>
    <xf numFmtId="165" fontId="7" fillId="4" borderId="1" xfId="0" applyNumberFormat="1" applyFont="1" applyFill="1" applyBorder="1" applyAlignment="1">
      <alignment horizontal="right" vertical="center"/>
    </xf>
    <xf numFmtId="0" fontId="9" fillId="5" borderId="1" xfId="0" applyFont="1" applyFill="1" applyBorder="1" applyAlignment="1">
      <alignment horizontal="left" vertical="center" indent="1"/>
    </xf>
    <xf numFmtId="165" fontId="9" fillId="5" borderId="1" xfId="0" applyNumberFormat="1" applyFont="1" applyFill="1" applyBorder="1" applyAlignment="1">
      <alignment horizontal="right" vertical="center"/>
    </xf>
    <xf numFmtId="0" fontId="0" fillId="5" borderId="1" xfId="0" applyFill="1" applyBorder="1"/>
    <xf numFmtId="0" fontId="5" fillId="3" borderId="1" xfId="0" applyFont="1" applyFill="1" applyBorder="1" applyAlignment="1">
      <alignment horizontal="left" vertical="center" indent="1"/>
    </xf>
    <xf numFmtId="164" fontId="11" fillId="3" borderId="1" xfId="0" applyNumberFormat="1" applyFont="1" applyFill="1" applyBorder="1" applyAlignment="1">
      <alignment horizontal="right" vertical="center"/>
    </xf>
    <xf numFmtId="164" fontId="5" fillId="3" borderId="1" xfId="0" applyNumberFormat="1" applyFont="1" applyFill="1" applyBorder="1" applyAlignment="1">
      <alignment horizontal="right" vertical="center"/>
    </xf>
    <xf numFmtId="0" fontId="4" fillId="2" borderId="1" xfId="0" applyFont="1" applyFill="1" applyBorder="1" applyAlignment="1">
      <alignment horizontal="left" vertical="center" indent="1"/>
    </xf>
    <xf numFmtId="0" fontId="0" fillId="2" borderId="1" xfId="0" applyFill="1" applyBorder="1"/>
    <xf numFmtId="0" fontId="9" fillId="6" borderId="1" xfId="0" applyFont="1" applyFill="1" applyBorder="1" applyAlignment="1">
      <alignment horizontal="left" vertical="center" indent="1"/>
    </xf>
    <xf numFmtId="0" fontId="0" fillId="6" borderId="1" xfId="0" applyFill="1" applyBorder="1"/>
    <xf numFmtId="0" fontId="7" fillId="4" borderId="1" xfId="0" applyFont="1" applyFill="1" applyBorder="1" applyAlignment="1">
      <alignment horizontal="left" vertical="center" indent="2"/>
    </xf>
    <xf numFmtId="0" fontId="9" fillId="6" borderId="1" xfId="0" applyFont="1" applyFill="1" applyBorder="1" applyAlignment="1">
      <alignment horizontal="left" vertical="center" indent="2"/>
    </xf>
    <xf numFmtId="164" fontId="9" fillId="6" borderId="1" xfId="0" applyNumberFormat="1" applyFont="1" applyFill="1" applyBorder="1" applyAlignment="1">
      <alignment horizontal="right" vertical="center"/>
    </xf>
    <xf numFmtId="0" fontId="6" fillId="0" borderId="1" xfId="0" applyFont="1" applyBorder="1" applyAlignment="1">
      <alignment horizontal="left" vertical="center" indent="2"/>
    </xf>
    <xf numFmtId="164" fontId="6" fillId="0" borderId="1" xfId="0" applyNumberFormat="1" applyFont="1" applyBorder="1" applyAlignment="1">
      <alignment horizontal="right" vertical="center"/>
    </xf>
    <xf numFmtId="164" fontId="9" fillId="5" borderId="1" xfId="0" applyNumberFormat="1" applyFont="1" applyFill="1" applyBorder="1" applyAlignment="1">
      <alignment horizontal="right" vertical="center"/>
    </xf>
    <xf numFmtId="164" fontId="12" fillId="0" borderId="1" xfId="0" applyNumberFormat="1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9" fillId="2" borderId="1" xfId="0" applyFont="1" applyFill="1" applyBorder="1" applyAlignment="1">
      <alignment horizontal="left" vertical="center" indent="1"/>
    </xf>
    <xf numFmtId="1" fontId="7" fillId="4" borderId="1" xfId="0" applyNumberFormat="1" applyFont="1" applyFill="1" applyBorder="1" applyAlignment="1">
      <alignment horizontal="center" vertical="center"/>
    </xf>
    <xf numFmtId="0" fontId="18" fillId="3" borderId="1" xfId="0" applyFont="1" applyFill="1" applyBorder="1" applyAlignment="1">
      <alignment horizontal="center" vertical="center"/>
    </xf>
    <xf numFmtId="0" fontId="9" fillId="11" borderId="1" xfId="0" applyFont="1" applyFill="1" applyBorder="1" applyAlignment="1">
      <alignment horizontal="center" vertical="center"/>
    </xf>
    <xf numFmtId="0" fontId="6" fillId="11" borderId="1" xfId="0" applyFont="1" applyFill="1" applyBorder="1" applyAlignment="1">
      <alignment horizontal="left" vertical="center" indent="1"/>
    </xf>
    <xf numFmtId="166" fontId="7" fillId="4" borderId="1" xfId="0" applyNumberFormat="1" applyFont="1" applyFill="1" applyBorder="1" applyAlignment="1">
      <alignment horizontal="center" vertical="center"/>
    </xf>
    <xf numFmtId="0" fontId="8" fillId="11" borderId="1" xfId="0" applyFont="1" applyFill="1" applyBorder="1" applyAlignment="1">
      <alignment horizontal="left" vertical="center" wrapText="1" indent="1"/>
    </xf>
    <xf numFmtId="0" fontId="9" fillId="12" borderId="1" xfId="0" applyFont="1" applyFill="1" applyBorder="1" applyAlignment="1">
      <alignment horizontal="center" vertical="center"/>
    </xf>
    <xf numFmtId="0" fontId="6" fillId="12" borderId="1" xfId="0" applyFont="1" applyFill="1" applyBorder="1" applyAlignment="1">
      <alignment horizontal="left" vertical="center" indent="1"/>
    </xf>
    <xf numFmtId="0" fontId="8" fillId="12" borderId="1" xfId="0" applyFont="1" applyFill="1" applyBorder="1" applyAlignment="1">
      <alignment horizontal="left" vertical="center" wrapText="1" indent="1"/>
    </xf>
    <xf numFmtId="0" fontId="9" fillId="13" borderId="1" xfId="0" applyFont="1" applyFill="1" applyBorder="1" applyAlignment="1">
      <alignment horizontal="center" vertical="center"/>
    </xf>
    <xf numFmtId="0" fontId="6" fillId="13" borderId="1" xfId="0" applyFont="1" applyFill="1" applyBorder="1" applyAlignment="1">
      <alignment horizontal="left" vertical="center" indent="1"/>
    </xf>
    <xf numFmtId="0" fontId="8" fillId="13" borderId="1" xfId="0" applyFont="1" applyFill="1" applyBorder="1" applyAlignment="1">
      <alignment horizontal="left" vertical="center" wrapText="1" indent="1"/>
    </xf>
    <xf numFmtId="0" fontId="9" fillId="14" borderId="1" xfId="0" applyFont="1" applyFill="1" applyBorder="1" applyAlignment="1">
      <alignment horizontal="center" vertical="center"/>
    </xf>
    <xf numFmtId="0" fontId="6" fillId="14" borderId="1" xfId="0" applyFont="1" applyFill="1" applyBorder="1" applyAlignment="1">
      <alignment horizontal="left" vertical="center" indent="1"/>
    </xf>
    <xf numFmtId="0" fontId="8" fillId="14" borderId="1" xfId="0" applyFont="1" applyFill="1" applyBorder="1" applyAlignment="1">
      <alignment horizontal="left" vertical="center" wrapText="1" indent="1"/>
    </xf>
    <xf numFmtId="0" fontId="9" fillId="15" borderId="1" xfId="0" applyFont="1" applyFill="1" applyBorder="1" applyAlignment="1">
      <alignment horizontal="center" vertical="center"/>
    </xf>
    <xf numFmtId="0" fontId="6" fillId="15" borderId="1" xfId="0" applyFont="1" applyFill="1" applyBorder="1" applyAlignment="1">
      <alignment horizontal="left" vertical="center" indent="1"/>
    </xf>
    <xf numFmtId="0" fontId="8" fillId="15" borderId="1" xfId="0" applyFont="1" applyFill="1" applyBorder="1" applyAlignment="1">
      <alignment horizontal="left" vertical="center" wrapText="1" indent="1"/>
    </xf>
    <xf numFmtId="0" fontId="9" fillId="16" borderId="1" xfId="0" applyFont="1" applyFill="1" applyBorder="1" applyAlignment="1">
      <alignment horizontal="center" vertical="center"/>
    </xf>
    <xf numFmtId="0" fontId="6" fillId="16" borderId="1" xfId="0" applyFont="1" applyFill="1" applyBorder="1" applyAlignment="1">
      <alignment horizontal="left" vertical="center" indent="1"/>
    </xf>
    <xf numFmtId="0" fontId="8" fillId="16" borderId="1" xfId="0" applyFont="1" applyFill="1" applyBorder="1" applyAlignment="1">
      <alignment horizontal="left" vertical="center" wrapText="1" indent="1"/>
    </xf>
    <xf numFmtId="0" fontId="9" fillId="17" borderId="1" xfId="0" applyFont="1" applyFill="1" applyBorder="1" applyAlignment="1">
      <alignment horizontal="center" vertical="center"/>
    </xf>
    <xf numFmtId="0" fontId="6" fillId="17" borderId="1" xfId="0" applyFont="1" applyFill="1" applyBorder="1" applyAlignment="1">
      <alignment horizontal="left" vertical="center" indent="1"/>
    </xf>
    <xf numFmtId="0" fontId="8" fillId="17" borderId="1" xfId="0" applyFont="1" applyFill="1" applyBorder="1" applyAlignment="1">
      <alignment horizontal="left" vertical="center" wrapText="1" indent="1"/>
    </xf>
    <xf numFmtId="164" fontId="18" fillId="3" borderId="1" xfId="0" applyNumberFormat="1" applyFont="1" applyFill="1" applyBorder="1" applyAlignment="1">
      <alignment horizontal="right" vertical="center"/>
    </xf>
    <xf numFmtId="0" fontId="0" fillId="3" borderId="1" xfId="0" applyFill="1" applyBorder="1"/>
    <xf numFmtId="0" fontId="18" fillId="3" borderId="1" xfId="0" applyFont="1" applyFill="1" applyBorder="1" applyAlignment="1">
      <alignment horizontal="center" vertical="center" wrapText="1"/>
    </xf>
    <xf numFmtId="0" fontId="6" fillId="18" borderId="1" xfId="0" applyFont="1" applyFill="1" applyBorder="1" applyAlignment="1">
      <alignment horizontal="center" vertical="center"/>
    </xf>
    <xf numFmtId="164" fontId="6" fillId="18" borderId="1" xfId="0" applyNumberFormat="1" applyFont="1" applyFill="1" applyBorder="1" applyAlignment="1">
      <alignment horizontal="right" vertical="center"/>
    </xf>
    <xf numFmtId="164" fontId="9" fillId="18" borderId="1" xfId="0" applyNumberFormat="1" applyFont="1" applyFill="1" applyBorder="1" applyAlignment="1">
      <alignment horizontal="right" vertical="center"/>
    </xf>
    <xf numFmtId="1" fontId="6" fillId="18" borderId="1" xfId="0" applyNumberFormat="1" applyFont="1" applyFill="1" applyBorder="1" applyAlignment="1">
      <alignment horizontal="center" vertical="center"/>
    </xf>
    <xf numFmtId="0" fontId="9" fillId="18" borderId="1" xfId="0" applyFont="1" applyFill="1" applyBorder="1" applyAlignment="1">
      <alignment horizontal="center" vertical="center"/>
    </xf>
    <xf numFmtId="0" fontId="7" fillId="4" borderId="1" xfId="0" applyFont="1" applyFill="1" applyBorder="1" applyAlignment="1">
      <alignment horizontal="left" vertical="center" wrapText="1" indent="1"/>
    </xf>
    <xf numFmtId="0" fontId="6" fillId="6" borderId="1" xfId="0" applyFont="1" applyFill="1" applyBorder="1" applyAlignment="1">
      <alignment horizontal="center" vertical="center"/>
    </xf>
    <xf numFmtId="164" fontId="6" fillId="6" borderId="1" xfId="0" applyNumberFormat="1" applyFont="1" applyFill="1" applyBorder="1" applyAlignment="1">
      <alignment horizontal="right" vertical="center"/>
    </xf>
    <xf numFmtId="1" fontId="6" fillId="6" borderId="1" xfId="0" applyNumberFormat="1" applyFont="1" applyFill="1" applyBorder="1" applyAlignment="1">
      <alignment horizontal="center" vertical="center"/>
    </xf>
    <xf numFmtId="0" fontId="9" fillId="6" borderId="1" xfId="0" applyFont="1" applyFill="1" applyBorder="1" applyAlignment="1">
      <alignment horizontal="center" vertical="center"/>
    </xf>
    <xf numFmtId="0" fontId="17" fillId="10" borderId="1" xfId="0" applyFont="1" applyFill="1" applyBorder="1" applyAlignment="1">
      <alignment horizontal="center" vertical="center"/>
    </xf>
    <xf numFmtId="0" fontId="18" fillId="3" borderId="1" xfId="0" applyFont="1" applyFill="1" applyBorder="1" applyAlignment="1">
      <alignment horizontal="left" vertical="center" indent="1"/>
    </xf>
    <xf numFmtId="0" fontId="18" fillId="3" borderId="1" xfId="0" applyFont="1" applyFill="1" applyBorder="1" applyAlignment="1">
      <alignment horizontal="center" vertical="center"/>
    </xf>
    <xf numFmtId="164" fontId="19" fillId="2" borderId="1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9">
    <dxf>
      <font>
        <b/>
        <sz val="10"/>
        <color rgb="FFFFFFFF"/>
        <name val="Calibri"/>
        <charset val="1"/>
      </font>
      <fill>
        <patternFill>
          <bgColor rgb="FFC0392B"/>
        </patternFill>
      </fill>
    </dxf>
    <dxf>
      <font>
        <b/>
        <sz val="10"/>
        <color rgb="FFC0392B"/>
        <name val="Calibri"/>
        <charset val="1"/>
      </font>
      <fill>
        <patternFill>
          <bgColor rgb="FFFDECEA"/>
        </patternFill>
      </fill>
    </dxf>
    <dxf>
      <font>
        <b/>
        <sz val="10"/>
        <color rgb="FFE67E22"/>
        <name val="Calibri"/>
        <charset val="1"/>
      </font>
      <fill>
        <patternFill>
          <bgColor rgb="FFFEF3E2"/>
        </patternFill>
      </fill>
    </dxf>
    <dxf>
      <font>
        <b/>
        <sz val="10"/>
        <color rgb="FF006494"/>
        <name val="Calibri"/>
        <charset val="1"/>
      </font>
      <fill>
        <patternFill>
          <bgColor rgb="FFEAF4FF"/>
        </patternFill>
      </fill>
    </dxf>
    <dxf>
      <font>
        <b/>
        <sz val="10"/>
        <color rgb="FF27AE60"/>
        <name val="Calibri"/>
        <charset val="1"/>
      </font>
      <fill>
        <patternFill>
          <bgColor rgb="FFEAF4EC"/>
        </patternFill>
      </fill>
    </dxf>
    <dxf>
      <font>
        <b/>
        <sz val="10"/>
        <color rgb="FF7A7974"/>
        <name val="Calibri"/>
        <charset val="1"/>
      </font>
      <fill>
        <patternFill>
          <bgColor rgb="FFF4F4F4"/>
        </patternFill>
      </fill>
    </dxf>
    <dxf>
      <font>
        <b/>
        <sz val="10"/>
        <color rgb="FF27AE60"/>
        <name val="Calibri"/>
        <charset val="1"/>
      </font>
      <fill>
        <patternFill>
          <bgColor rgb="FFEAF4EC"/>
        </patternFill>
      </fill>
    </dxf>
    <dxf>
      <font>
        <b/>
        <sz val="10"/>
        <color rgb="FFE67E22"/>
        <name val="Calibri"/>
        <charset val="1"/>
      </font>
      <fill>
        <patternFill>
          <bgColor rgb="FFFEF3E2"/>
        </patternFill>
      </fill>
    </dxf>
    <dxf>
      <font>
        <b/>
        <sz val="10"/>
        <color rgb="FFC0392B"/>
        <name val="Calibri"/>
        <charset val="1"/>
      </font>
      <fill>
        <patternFill>
          <bgColor rgb="FFFDECEA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3E0"/>
      <rgbColor rgb="FFFF00FF"/>
      <rgbColor rgb="FF00FFFF"/>
      <rgbColor rgb="FF800000"/>
      <rgbColor rgb="FF008000"/>
      <rgbColor rgb="FF000080"/>
      <rgbColor rgb="FF808000"/>
      <rgbColor rgb="FF800080"/>
      <rgbColor rgb="FF20808D"/>
      <rgbColor rgb="FFD4D1CA"/>
      <rgbColor rgb="FF878787"/>
      <rgbColor rgb="FFEAF4FF"/>
      <rgbColor rgb="FFC0392B"/>
      <rgbColor rgb="FFFFF9C4"/>
      <rgbColor rgb="FFE0F7FA"/>
      <rgbColor rgb="FF660066"/>
      <rgbColor rgb="FFF0F7F8"/>
      <rgbColor rgb="FF006494"/>
      <rgbColor rgb="FFD9D9D9"/>
      <rgbColor rgb="FF000080"/>
      <rgbColor rgb="FFFF00FF"/>
      <rgbColor rgb="FFFEF3E2"/>
      <rgbColor rgb="FF00FFFF"/>
      <rgbColor rgb="FF800080"/>
      <rgbColor rgb="FF800000"/>
      <rgbColor rgb="FF01696F"/>
      <rgbColor rgb="FF0000FF"/>
      <rgbColor rgb="FF00CCFF"/>
      <rgbColor rgb="FFE8F4F5"/>
      <rgbColor rgb="FFE8F5E9"/>
      <rgbColor rgb="FFFFF8E1"/>
      <rgbColor rgb="FFD0E8EA"/>
      <rgbColor rgb="FFF3E5F5"/>
      <rgbColor rgb="FFFDECEA"/>
      <rgbColor rgb="FFFCE4EC"/>
      <rgbColor rgb="FF3366FF"/>
      <rgbColor rgb="FF33CCCC"/>
      <rgbColor rgb="FFF9F9F9"/>
      <rgbColor rgb="FFEAF4EC"/>
      <rgbColor rgb="FFFF9900"/>
      <rgbColor rgb="FFE67E22"/>
      <rgbColor rgb="FF7A7974"/>
      <rgbColor rgb="FFF4F4F4"/>
      <rgbColor rgb="FF003366"/>
      <rgbColor rgb="FF27AE60"/>
      <rgbColor rgb="FF003300"/>
      <rgbColor rgb="FF333300"/>
      <rgbColor rgb="FFA84B2F"/>
      <rgbColor rgb="FF993366"/>
      <rgbColor rgb="FF333399"/>
      <rgbColor rgb="FF28251D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c:style val="2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lang="es-US" sz="1800" b="1" u="none" strike="noStrike">
                <a:solidFill>
                  <a:srgbClr val="000000"/>
                </a:solidFill>
                <a:uFillTx/>
                <a:latin typeface="Calibri"/>
              </a:rPr>
              <a:t>Entradas vs Salidas por Mes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Dashboard!$C$9</c:f>
              <c:strCache>
                <c:ptCount val="1"/>
                <c:pt idx="0">
                  <c:v>Entradas</c:v>
                </c:pt>
              </c:strCache>
            </c:strRef>
          </c:tx>
          <c:spPr>
            <a:solidFill>
              <a:srgbClr val="20808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Arial"/>
                  </a:defRPr>
                </a:pPr>
                <a:endParaRPr lang="es-US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>
                      <a:solidFill>
                        <a:srgbClr val="F9F9F9"/>
                      </a:solidFill>
                    </a:ln>
                  </c:spPr>
                </c15:leaderLines>
              </c:ext>
            </c:extLst>
          </c:dLbls>
          <c:cat>
            <c:strRef>
              <c:f>Dashboard!$B$10:$B$21</c:f>
              <c:strCache>
                <c:ptCount val="12"/>
                <c:pt idx="0">
                  <c:v>Abr-26</c:v>
                </c:pt>
                <c:pt idx="1">
                  <c:v>May-26</c:v>
                </c:pt>
                <c:pt idx="2">
                  <c:v>Jun-26</c:v>
                </c:pt>
                <c:pt idx="3">
                  <c:v>Jul-26</c:v>
                </c:pt>
                <c:pt idx="4">
                  <c:v>Ago-26</c:v>
                </c:pt>
                <c:pt idx="5">
                  <c:v>Sep-26</c:v>
                </c:pt>
                <c:pt idx="6">
                  <c:v>Oct-26</c:v>
                </c:pt>
                <c:pt idx="7">
                  <c:v>Nov-26</c:v>
                </c:pt>
                <c:pt idx="8">
                  <c:v>Dic-26</c:v>
                </c:pt>
                <c:pt idx="9">
                  <c:v>Ene-27</c:v>
                </c:pt>
                <c:pt idx="10">
                  <c:v>Feb-27</c:v>
                </c:pt>
                <c:pt idx="11">
                  <c:v>Mar-27</c:v>
                </c:pt>
              </c:strCache>
            </c:strRef>
          </c:cat>
          <c:val>
            <c:numRef>
              <c:f>Dashboard!$C$10:$C$21</c:f>
              <c:numCache>
                <c:formatCode>#,##0;\(#,##0\);\-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15D-3546-9292-88686D2214B2}"/>
            </c:ext>
          </c:extLst>
        </c:ser>
        <c:ser>
          <c:idx val="1"/>
          <c:order val="1"/>
          <c:tx>
            <c:strRef>
              <c:f>Dashboard!$D$9</c:f>
              <c:strCache>
                <c:ptCount val="1"/>
                <c:pt idx="0">
                  <c:v>Salidas</c:v>
                </c:pt>
              </c:strCache>
            </c:strRef>
          </c:tx>
          <c:spPr>
            <a:solidFill>
              <a:srgbClr val="A84B2F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Arial"/>
                  </a:defRPr>
                </a:pPr>
                <a:endParaRPr lang="es-US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>
                      <a:solidFill>
                        <a:srgbClr val="F9F9F9"/>
                      </a:solidFill>
                    </a:ln>
                  </c:spPr>
                </c15:leaderLines>
              </c:ext>
            </c:extLst>
          </c:dLbls>
          <c:cat>
            <c:strRef>
              <c:f>Dashboard!$B$10:$B$21</c:f>
              <c:strCache>
                <c:ptCount val="12"/>
                <c:pt idx="0">
                  <c:v>Abr-26</c:v>
                </c:pt>
                <c:pt idx="1">
                  <c:v>May-26</c:v>
                </c:pt>
                <c:pt idx="2">
                  <c:v>Jun-26</c:v>
                </c:pt>
                <c:pt idx="3">
                  <c:v>Jul-26</c:v>
                </c:pt>
                <c:pt idx="4">
                  <c:v>Ago-26</c:v>
                </c:pt>
                <c:pt idx="5">
                  <c:v>Sep-26</c:v>
                </c:pt>
                <c:pt idx="6">
                  <c:v>Oct-26</c:v>
                </c:pt>
                <c:pt idx="7">
                  <c:v>Nov-26</c:v>
                </c:pt>
                <c:pt idx="8">
                  <c:v>Dic-26</c:v>
                </c:pt>
                <c:pt idx="9">
                  <c:v>Ene-27</c:v>
                </c:pt>
                <c:pt idx="10">
                  <c:v>Feb-27</c:v>
                </c:pt>
                <c:pt idx="11">
                  <c:v>Mar-27</c:v>
                </c:pt>
              </c:strCache>
            </c:strRef>
          </c:cat>
          <c:val>
            <c:numRef>
              <c:f>Dashboard!$D$10:$D$21</c:f>
              <c:numCache>
                <c:formatCode>#,##0;\(#,##0\);\-</c:formatCode>
                <c:ptCount val="12"/>
                <c:pt idx="0">
                  <c:v>53148200</c:v>
                </c:pt>
                <c:pt idx="1">
                  <c:v>53148200</c:v>
                </c:pt>
                <c:pt idx="2">
                  <c:v>53148200</c:v>
                </c:pt>
                <c:pt idx="3">
                  <c:v>53148200</c:v>
                </c:pt>
                <c:pt idx="4">
                  <c:v>53148200</c:v>
                </c:pt>
                <c:pt idx="5">
                  <c:v>53148200</c:v>
                </c:pt>
                <c:pt idx="6">
                  <c:v>53148200</c:v>
                </c:pt>
                <c:pt idx="7">
                  <c:v>53148200</c:v>
                </c:pt>
                <c:pt idx="8">
                  <c:v>53148200</c:v>
                </c:pt>
                <c:pt idx="9">
                  <c:v>53148200</c:v>
                </c:pt>
                <c:pt idx="10">
                  <c:v>53148200</c:v>
                </c:pt>
                <c:pt idx="11">
                  <c:v>53148200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15D-3546-9292-88686D2214B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9662471"/>
        <c:axId val="98183800"/>
      </c:barChart>
      <c:catAx>
        <c:axId val="59662471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  <a:endParaRPr lang="es-US"/>
          </a:p>
        </c:txPr>
        <c:crossAx val="98183800"/>
        <c:crosses val="autoZero"/>
        <c:auto val="1"/>
        <c:lblAlgn val="ctr"/>
        <c:lblOffset val="100"/>
        <c:noMultiLvlLbl val="0"/>
      </c:catAx>
      <c:valAx>
        <c:axId val="98183800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lang="es-US"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COP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;\(#,##0\);\-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  <a:endParaRPr lang="es-US"/>
          </a:p>
        </c:txPr>
        <c:crossAx val="59662471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Calibri"/>
            </a:defRPr>
          </a:pPr>
          <a:endParaRPr lang="es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c:style val="2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800" b="1" u="none" strike="noStrike">
                <a:solidFill>
                  <a:srgbClr val="000000"/>
                </a:solidFill>
                <a:uFillTx/>
                <a:latin typeface="Calibri"/>
              </a:rPr>
              <a:t>Evolución del Saldo de Caja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Dashboard!$F$9</c:f>
              <c:strCache>
                <c:ptCount val="1"/>
                <c:pt idx="0">
                  <c:v>Saldo Final</c:v>
                </c:pt>
              </c:strCache>
            </c:strRef>
          </c:tx>
          <c:spPr>
            <a:ln w="24840">
              <a:solidFill>
                <a:srgbClr val="01696F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Arial"/>
                  </a:defRPr>
                </a:pPr>
                <a:endParaRPr lang="es-US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24840">
                      <a:solidFill>
                        <a:srgbClr val="000000"/>
                      </a:solidFill>
                    </a:ln>
                  </c:spPr>
                </c15:leaderLines>
              </c:ext>
            </c:extLst>
          </c:dLbls>
          <c:cat>
            <c:strRef>
              <c:f>Dashboard!$B$10:$B$21</c:f>
              <c:strCache>
                <c:ptCount val="12"/>
                <c:pt idx="0">
                  <c:v>Abr-26</c:v>
                </c:pt>
                <c:pt idx="1">
                  <c:v>May-26</c:v>
                </c:pt>
                <c:pt idx="2">
                  <c:v>Jun-26</c:v>
                </c:pt>
                <c:pt idx="3">
                  <c:v>Jul-26</c:v>
                </c:pt>
                <c:pt idx="4">
                  <c:v>Ago-26</c:v>
                </c:pt>
                <c:pt idx="5">
                  <c:v>Sep-26</c:v>
                </c:pt>
                <c:pt idx="6">
                  <c:v>Oct-26</c:v>
                </c:pt>
                <c:pt idx="7">
                  <c:v>Nov-26</c:v>
                </c:pt>
                <c:pt idx="8">
                  <c:v>Dic-26</c:v>
                </c:pt>
                <c:pt idx="9">
                  <c:v>Ene-27</c:v>
                </c:pt>
                <c:pt idx="10">
                  <c:v>Feb-27</c:v>
                </c:pt>
                <c:pt idx="11">
                  <c:v>Mar-27</c:v>
                </c:pt>
              </c:strCache>
            </c:strRef>
          </c:cat>
          <c:val>
            <c:numRef>
              <c:f>Dashboard!$F$10:$F$21</c:f>
              <c:numCache>
                <c:formatCode>#,##0;\(#,##0\);\-</c:formatCode>
                <c:ptCount val="12"/>
                <c:pt idx="0">
                  <c:v>-3148200</c:v>
                </c:pt>
                <c:pt idx="1">
                  <c:v>-56296400</c:v>
                </c:pt>
                <c:pt idx="2">
                  <c:v>-109444600</c:v>
                </c:pt>
                <c:pt idx="3">
                  <c:v>-162592800</c:v>
                </c:pt>
                <c:pt idx="4">
                  <c:v>-215741000</c:v>
                </c:pt>
                <c:pt idx="5">
                  <c:v>-268889200</c:v>
                </c:pt>
                <c:pt idx="6">
                  <c:v>-322037400</c:v>
                </c:pt>
                <c:pt idx="7">
                  <c:v>-375185600</c:v>
                </c:pt>
                <c:pt idx="8">
                  <c:v>-428333800</c:v>
                </c:pt>
                <c:pt idx="9">
                  <c:v>-481482000</c:v>
                </c:pt>
                <c:pt idx="10">
                  <c:v>-534630200</c:v>
                </c:pt>
                <c:pt idx="11">
                  <c:v>-587778400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C4E8-4A47-B508-D7CC45AC143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smooth val="0"/>
        <c:axId val="2396165"/>
        <c:axId val="81001688"/>
      </c:lineChart>
      <c:catAx>
        <c:axId val="2396165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  <a:endParaRPr lang="es-US"/>
          </a:p>
        </c:txPr>
        <c:crossAx val="81001688"/>
        <c:crosses val="autoZero"/>
        <c:auto val="1"/>
        <c:lblAlgn val="ctr"/>
        <c:lblOffset val="100"/>
        <c:noMultiLvlLbl val="0"/>
      </c:catAx>
      <c:valAx>
        <c:axId val="81001688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COP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;\(#,##0\);\-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  <a:endParaRPr lang="es-US"/>
          </a:p>
        </c:txPr>
        <c:crossAx val="2396165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Calibri"/>
            </a:defRPr>
          </a:pPr>
          <a:endParaRPr lang="es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22</xdr:row>
      <xdr:rowOff>0</xdr:rowOff>
    </xdr:from>
    <xdr:to>
      <xdr:col>6</xdr:col>
      <xdr:colOff>306720</xdr:colOff>
      <xdr:row>44</xdr:row>
      <xdr:rowOff>128520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</xdr:col>
      <xdr:colOff>0</xdr:colOff>
      <xdr:row>39</xdr:row>
      <xdr:rowOff>0</xdr:rowOff>
    </xdr:from>
    <xdr:to>
      <xdr:col>6</xdr:col>
      <xdr:colOff>306720</xdr:colOff>
      <xdr:row>61</xdr:row>
      <xdr:rowOff>128520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1696F"/>
  </sheetPr>
  <dimension ref="B2:E36"/>
  <sheetViews>
    <sheetView topLeftCell="A2" zoomScaleNormal="100" workbookViewId="0"/>
  </sheetViews>
  <sheetFormatPr baseColWidth="10" defaultColWidth="8.6640625" defaultRowHeight="15" customHeight="1" x14ac:dyDescent="0.2"/>
  <cols>
    <col min="1" max="1" width="3" customWidth="1"/>
    <col min="2" max="2" width="40" customWidth="1"/>
    <col min="3" max="3" width="18" customWidth="1"/>
    <col min="4" max="4" width="45" customWidth="1"/>
  </cols>
  <sheetData>
    <row r="2" spans="2:5" ht="30" customHeight="1" x14ac:dyDescent="0.2">
      <c r="B2" s="12" t="s">
        <v>0</v>
      </c>
      <c r="C2" s="12"/>
      <c r="D2" s="12"/>
    </row>
    <row r="3" spans="2:5" ht="18" customHeight="1" x14ac:dyDescent="0.2">
      <c r="B3" s="11" t="s">
        <v>1</v>
      </c>
      <c r="C3" s="11"/>
      <c r="D3" s="11"/>
    </row>
    <row r="4" spans="2:5" ht="15" customHeight="1" x14ac:dyDescent="0.2">
      <c r="B4" s="13" t="s">
        <v>2</v>
      </c>
      <c r="C4" s="13" t="s">
        <v>3</v>
      </c>
      <c r="D4" s="13" t="s">
        <v>4</v>
      </c>
      <c r="E4" s="13" t="s">
        <v>5</v>
      </c>
    </row>
    <row r="6" spans="2:5" ht="21.75" customHeight="1" x14ac:dyDescent="0.2">
      <c r="B6" s="10" t="s">
        <v>6</v>
      </c>
      <c r="C6" s="10"/>
      <c r="D6" s="10"/>
    </row>
    <row r="7" spans="2:5" ht="21.75" customHeight="1" x14ac:dyDescent="0.2">
      <c r="B7" s="15" t="s">
        <v>7</v>
      </c>
      <c r="C7" s="15" t="s">
        <v>8</v>
      </c>
      <c r="D7" s="15" t="s">
        <v>9</v>
      </c>
    </row>
    <row r="8" spans="2:5" ht="15" customHeight="1" x14ac:dyDescent="0.2">
      <c r="B8" s="16" t="s">
        <v>10</v>
      </c>
      <c r="C8" s="17">
        <v>50000000</v>
      </c>
      <c r="D8" s="18" t="s">
        <v>11</v>
      </c>
    </row>
    <row r="9" spans="2:5" ht="15" customHeight="1" x14ac:dyDescent="0.2">
      <c r="B9" s="16" t="s">
        <v>12</v>
      </c>
      <c r="C9" s="17">
        <v>10</v>
      </c>
      <c r="D9" s="18" t="s">
        <v>13</v>
      </c>
    </row>
    <row r="10" spans="2:5" ht="15" customHeight="1" x14ac:dyDescent="0.2">
      <c r="B10" s="16" t="s">
        <v>14</v>
      </c>
      <c r="C10" s="17">
        <v>3500000</v>
      </c>
      <c r="D10" s="18" t="s">
        <v>15</v>
      </c>
    </row>
    <row r="11" spans="2:5" ht="15" customHeight="1" x14ac:dyDescent="0.2">
      <c r="B11" s="16" t="s">
        <v>16</v>
      </c>
      <c r="C11" s="19">
        <v>0.19</v>
      </c>
      <c r="D11" s="18" t="s">
        <v>17</v>
      </c>
    </row>
    <row r="12" spans="2:5" ht="15" customHeight="1" x14ac:dyDescent="0.2">
      <c r="B12" s="16" t="s">
        <v>18</v>
      </c>
      <c r="C12" s="19">
        <v>0.7</v>
      </c>
      <c r="D12" s="18" t="s">
        <v>19</v>
      </c>
    </row>
    <row r="13" spans="2:5" ht="15" customHeight="1" x14ac:dyDescent="0.2">
      <c r="B13" s="16" t="s">
        <v>20</v>
      </c>
      <c r="C13" s="19">
        <v>0.04</v>
      </c>
      <c r="D13" s="18" t="s">
        <v>21</v>
      </c>
    </row>
    <row r="14" spans="2:5" ht="15" customHeight="1" x14ac:dyDescent="0.2">
      <c r="B14" s="16" t="s">
        <v>22</v>
      </c>
      <c r="C14" s="19">
        <v>9.6600000000000002E-3</v>
      </c>
      <c r="D14" s="18" t="s">
        <v>23</v>
      </c>
    </row>
    <row r="15" spans="2:5" ht="15" customHeight="1" x14ac:dyDescent="0.2">
      <c r="B15" s="16" t="s">
        <v>24</v>
      </c>
      <c r="C15" s="19">
        <v>8.0000000000000002E-3</v>
      </c>
      <c r="D15" s="18" t="s">
        <v>25</v>
      </c>
    </row>
    <row r="17" spans="2:4" ht="15" customHeight="1" x14ac:dyDescent="0.2">
      <c r="B17" s="10" t="s">
        <v>26</v>
      </c>
      <c r="C17" s="10"/>
      <c r="D17" s="10"/>
    </row>
    <row r="18" spans="2:4" ht="15" customHeight="1" x14ac:dyDescent="0.2">
      <c r="B18" s="15" t="s">
        <v>7</v>
      </c>
      <c r="C18" s="15" t="s">
        <v>27</v>
      </c>
      <c r="D18" s="15" t="s">
        <v>28</v>
      </c>
    </row>
    <row r="19" spans="2:4" ht="15" customHeight="1" x14ac:dyDescent="0.2">
      <c r="B19" s="16" t="s">
        <v>29</v>
      </c>
      <c r="C19" s="19">
        <v>8.5000000000000006E-2</v>
      </c>
      <c r="D19" s="18" t="s">
        <v>30</v>
      </c>
    </row>
    <row r="20" spans="2:4" ht="15" customHeight="1" x14ac:dyDescent="0.2">
      <c r="B20" s="16" t="s">
        <v>31</v>
      </c>
      <c r="C20" s="19">
        <v>0.12</v>
      </c>
      <c r="D20" s="18" t="s">
        <v>32</v>
      </c>
    </row>
    <row r="21" spans="2:4" ht="15" customHeight="1" x14ac:dyDescent="0.2">
      <c r="B21" s="16" t="s">
        <v>33</v>
      </c>
      <c r="C21" s="19">
        <v>5.2199999999999998E-3</v>
      </c>
      <c r="D21" s="18" t="s">
        <v>34</v>
      </c>
    </row>
    <row r="22" spans="2:4" ht="15" customHeight="1" x14ac:dyDescent="0.2">
      <c r="B22" s="16" t="s">
        <v>35</v>
      </c>
      <c r="C22" s="19">
        <v>0.04</v>
      </c>
      <c r="D22" s="18" t="s">
        <v>36</v>
      </c>
    </row>
    <row r="23" spans="2:4" ht="15" customHeight="1" x14ac:dyDescent="0.2">
      <c r="B23" s="16" t="s">
        <v>37</v>
      </c>
      <c r="C23" s="19">
        <v>0.03</v>
      </c>
      <c r="D23" s="18" t="s">
        <v>38</v>
      </c>
    </row>
    <row r="24" spans="2:4" ht="15" customHeight="1" x14ac:dyDescent="0.2">
      <c r="B24" s="16" t="s">
        <v>39</v>
      </c>
      <c r="C24" s="19">
        <v>0.02</v>
      </c>
      <c r="D24" s="18" t="s">
        <v>40</v>
      </c>
    </row>
    <row r="25" spans="2:4" ht="15" customHeight="1" x14ac:dyDescent="0.2">
      <c r="B25" s="20" t="s">
        <v>41</v>
      </c>
      <c r="C25" s="21">
        <f>SUM(C19:C24)</f>
        <v>0.30022000000000004</v>
      </c>
      <c r="D25" s="22"/>
    </row>
    <row r="27" spans="2:4" ht="15" customHeight="1" x14ac:dyDescent="0.2">
      <c r="B27" s="10" t="s">
        <v>42</v>
      </c>
      <c r="C27" s="10"/>
      <c r="D27" s="10"/>
    </row>
    <row r="28" spans="2:4" ht="15" customHeight="1" x14ac:dyDescent="0.2">
      <c r="B28" s="15" t="s">
        <v>7</v>
      </c>
      <c r="C28" s="15" t="s">
        <v>43</v>
      </c>
      <c r="D28" s="15" t="s">
        <v>28</v>
      </c>
    </row>
    <row r="29" spans="2:4" ht="15" customHeight="1" x14ac:dyDescent="0.2">
      <c r="B29" s="16" t="s">
        <v>44</v>
      </c>
      <c r="C29" s="19">
        <v>8.3299999999999999E-2</v>
      </c>
      <c r="D29" s="18" t="s">
        <v>45</v>
      </c>
    </row>
    <row r="30" spans="2:4" ht="15" customHeight="1" x14ac:dyDescent="0.2">
      <c r="B30" s="16" t="s">
        <v>46</v>
      </c>
      <c r="C30" s="19">
        <v>0.01</v>
      </c>
      <c r="D30" s="18" t="s">
        <v>47</v>
      </c>
    </row>
    <row r="31" spans="2:4" ht="15" customHeight="1" x14ac:dyDescent="0.2">
      <c r="B31" s="16" t="s">
        <v>48</v>
      </c>
      <c r="C31" s="19">
        <v>8.3299999999999999E-2</v>
      </c>
      <c r="D31" s="18" t="s">
        <v>49</v>
      </c>
    </row>
    <row r="32" spans="2:4" ht="15" customHeight="1" x14ac:dyDescent="0.2">
      <c r="B32" s="16" t="s">
        <v>50</v>
      </c>
      <c r="C32" s="19">
        <v>4.1700000000000001E-2</v>
      </c>
      <c r="D32" s="18" t="s">
        <v>51</v>
      </c>
    </row>
    <row r="33" spans="2:4" ht="15" customHeight="1" x14ac:dyDescent="0.2">
      <c r="B33" s="20" t="s">
        <v>52</v>
      </c>
      <c r="C33" s="21">
        <f>SUM(C29:C32)</f>
        <v>0.21829999999999999</v>
      </c>
      <c r="D33" s="22"/>
    </row>
    <row r="35" spans="2:4" ht="15" customHeight="1" x14ac:dyDescent="0.2">
      <c r="B35" s="9" t="s">
        <v>53</v>
      </c>
      <c r="C35" s="9"/>
      <c r="D35" s="9"/>
    </row>
    <row r="36" spans="2:4" ht="15" customHeight="1" x14ac:dyDescent="0.2">
      <c r="B36" s="8" t="s">
        <v>54</v>
      </c>
      <c r="C36" s="8"/>
      <c r="D36" s="8"/>
    </row>
  </sheetData>
  <mergeCells count="7">
    <mergeCell ref="B35:D35"/>
    <mergeCell ref="B36:D36"/>
    <mergeCell ref="B2:D2"/>
    <mergeCell ref="B3:D3"/>
    <mergeCell ref="B6:D6"/>
    <mergeCell ref="B17:D17"/>
    <mergeCell ref="B27:D27"/>
  </mergeCells>
  <hyperlinks>
    <hyperlink ref="B4" location="'Flujo de Caja'!A1" display="→ Flujo de Caja" xr:uid="{00000000-0004-0000-0000-000000000000}"/>
    <hyperlink ref="C4" location="'Dashboard'!A1" display="→ Dashboard" xr:uid="{00000000-0004-0000-0000-000001000000}"/>
    <hyperlink ref="D4" location="'Calendario Tributario'!A1" display="→ Calendario Tributario" xr:uid="{00000000-0004-0000-0000-000002000000}"/>
    <hyperlink ref="E4" location="'Control de Cartera'!A1" display="→ Control de Cartera" xr:uid="{00000000-0004-0000-0000-000003000000}"/>
  </hyperlink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1696F"/>
  </sheetPr>
  <dimension ref="B2:O99"/>
  <sheetViews>
    <sheetView zoomScaleNormal="100" workbookViewId="0">
      <pane xSplit="2" ySplit="5" topLeftCell="C6" activePane="bottomRight" state="frozen"/>
      <selection pane="topRight" activeCell="C1" sqref="C1"/>
      <selection pane="bottomLeft" activeCell="A6" sqref="A6"/>
      <selection pane="bottomRight" activeCell="C11" sqref="C11"/>
    </sheetView>
  </sheetViews>
  <sheetFormatPr baseColWidth="10" defaultColWidth="8.6640625" defaultRowHeight="15" customHeight="1" x14ac:dyDescent="0.2"/>
  <cols>
    <col min="1" max="1" width="3" customWidth="1"/>
    <col min="2" max="2" width="42" customWidth="1"/>
    <col min="3" max="15" width="16" customWidth="1"/>
  </cols>
  <sheetData>
    <row r="2" spans="2:15" ht="30" customHeight="1" x14ac:dyDescent="0.2">
      <c r="B2" s="12" t="s">
        <v>55</v>
      </c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</row>
    <row r="3" spans="2:15" ht="18" customHeight="1" x14ac:dyDescent="0.2">
      <c r="B3" s="11" t="s">
        <v>56</v>
      </c>
      <c r="C3" s="11"/>
      <c r="D3" s="11"/>
      <c r="E3" s="11"/>
      <c r="F3" s="11"/>
      <c r="G3" s="11"/>
      <c r="H3" s="11"/>
      <c r="I3" s="11"/>
      <c r="J3" s="11"/>
      <c r="K3" s="11"/>
      <c r="L3" s="11"/>
      <c r="M3" s="11"/>
      <c r="N3" s="11"/>
      <c r="O3" s="11"/>
    </row>
    <row r="4" spans="2:15" ht="15" customHeight="1" x14ac:dyDescent="0.2">
      <c r="B4" s="13" t="s">
        <v>57</v>
      </c>
      <c r="C4" s="13" t="s">
        <v>3</v>
      </c>
      <c r="D4" s="13" t="s">
        <v>4</v>
      </c>
      <c r="E4" s="13" t="s">
        <v>5</v>
      </c>
    </row>
    <row r="5" spans="2:15" ht="21.75" customHeight="1" x14ac:dyDescent="0.2">
      <c r="B5" s="15" t="s">
        <v>58</v>
      </c>
      <c r="C5" s="15" t="s">
        <v>59</v>
      </c>
      <c r="D5" s="15" t="s">
        <v>60</v>
      </c>
      <c r="E5" s="15" t="s">
        <v>61</v>
      </c>
      <c r="F5" s="15" t="s">
        <v>62</v>
      </c>
      <c r="G5" s="15" t="s">
        <v>63</v>
      </c>
      <c r="H5" s="15" t="s">
        <v>64</v>
      </c>
      <c r="I5" s="15" t="s">
        <v>65</v>
      </c>
      <c r="J5" s="15" t="s">
        <v>66</v>
      </c>
      <c r="K5" s="15" t="s">
        <v>67</v>
      </c>
      <c r="L5" s="15" t="s">
        <v>68</v>
      </c>
      <c r="M5" s="15" t="s">
        <v>69</v>
      </c>
      <c r="N5" s="15" t="s">
        <v>70</v>
      </c>
      <c r="O5" s="15" t="s">
        <v>71</v>
      </c>
    </row>
    <row r="6" spans="2:15" ht="15" customHeight="1" x14ac:dyDescent="0.2">
      <c r="B6" s="23" t="s">
        <v>72</v>
      </c>
      <c r="C6" s="24">
        <f>Supuestos!C8</f>
        <v>50000000</v>
      </c>
      <c r="D6" s="25">
        <f t="shared" ref="D6:N6" si="0">C96</f>
        <v>-3148200</v>
      </c>
      <c r="E6" s="25">
        <f t="shared" si="0"/>
        <v>-56296400</v>
      </c>
      <c r="F6" s="25">
        <f t="shared" si="0"/>
        <v>-109444600</v>
      </c>
      <c r="G6" s="25">
        <f t="shared" si="0"/>
        <v>-162592800</v>
      </c>
      <c r="H6" s="25">
        <f t="shared" si="0"/>
        <v>-215741000</v>
      </c>
      <c r="I6" s="25">
        <f t="shared" si="0"/>
        <v>-268889200</v>
      </c>
      <c r="J6" s="25">
        <f t="shared" si="0"/>
        <v>-322037400</v>
      </c>
      <c r="K6" s="25">
        <f t="shared" si="0"/>
        <v>-375185600</v>
      </c>
      <c r="L6" s="25">
        <f t="shared" si="0"/>
        <v>-428333800</v>
      </c>
      <c r="M6" s="25">
        <f t="shared" si="0"/>
        <v>-481482000</v>
      </c>
      <c r="N6" s="25">
        <f t="shared" si="0"/>
        <v>-534630200</v>
      </c>
      <c r="O6" s="25">
        <f>C6</f>
        <v>50000000</v>
      </c>
    </row>
    <row r="8" spans="2:15" ht="15" customHeight="1" x14ac:dyDescent="0.2">
      <c r="B8" s="26" t="s">
        <v>73</v>
      </c>
      <c r="C8" s="27"/>
      <c r="D8" s="27"/>
      <c r="E8" s="27"/>
      <c r="F8" s="27"/>
      <c r="G8" s="27"/>
      <c r="H8" s="27"/>
      <c r="I8" s="27"/>
      <c r="J8" s="27"/>
      <c r="K8" s="27"/>
      <c r="L8" s="27"/>
      <c r="M8" s="27"/>
      <c r="N8" s="27"/>
      <c r="O8" s="27"/>
    </row>
    <row r="9" spans="2:15" ht="15" customHeight="1" x14ac:dyDescent="0.2">
      <c r="B9" s="28" t="s">
        <v>74</v>
      </c>
      <c r="C9" s="29"/>
      <c r="D9" s="29"/>
      <c r="E9" s="29"/>
      <c r="F9" s="29"/>
      <c r="G9" s="29"/>
      <c r="H9" s="29"/>
      <c r="I9" s="29"/>
      <c r="J9" s="29"/>
      <c r="K9" s="29"/>
      <c r="L9" s="29"/>
      <c r="M9" s="29"/>
      <c r="N9" s="29"/>
      <c r="O9" s="29"/>
    </row>
    <row r="10" spans="2:15" ht="15" customHeight="1" x14ac:dyDescent="0.2">
      <c r="B10" s="30" t="s">
        <v>75</v>
      </c>
      <c r="C10" s="17"/>
      <c r="D10" s="17"/>
      <c r="E10" s="17"/>
      <c r="F10" s="17"/>
      <c r="G10" s="17"/>
      <c r="H10" s="17"/>
      <c r="I10" s="17"/>
      <c r="J10" s="17"/>
      <c r="K10" s="17"/>
      <c r="L10" s="17"/>
      <c r="M10" s="17"/>
      <c r="N10" s="17"/>
      <c r="O10" s="17"/>
    </row>
    <row r="11" spans="2:15" ht="15" customHeight="1" x14ac:dyDescent="0.2">
      <c r="B11" s="30" t="s">
        <v>76</v>
      </c>
      <c r="C11" s="17"/>
      <c r="D11" s="17"/>
      <c r="E11" s="17"/>
      <c r="F11" s="17"/>
      <c r="G11" s="17"/>
      <c r="H11" s="17"/>
      <c r="I11" s="17"/>
      <c r="J11" s="17"/>
      <c r="K11" s="17"/>
      <c r="L11" s="17"/>
      <c r="M11" s="17"/>
      <c r="N11" s="17"/>
      <c r="O11" s="17"/>
    </row>
    <row r="12" spans="2:15" ht="15" customHeight="1" x14ac:dyDescent="0.2">
      <c r="B12" s="30" t="s">
        <v>77</v>
      </c>
      <c r="C12" s="17"/>
      <c r="D12" s="17"/>
      <c r="E12" s="17"/>
      <c r="F12" s="17"/>
      <c r="G12" s="17"/>
      <c r="H12" s="17"/>
      <c r="I12" s="17"/>
      <c r="J12" s="17"/>
      <c r="K12" s="17"/>
      <c r="L12" s="17"/>
      <c r="M12" s="17"/>
      <c r="N12" s="17"/>
      <c r="O12" s="17"/>
    </row>
    <row r="13" spans="2:15" ht="15" customHeight="1" x14ac:dyDescent="0.2">
      <c r="B13" s="30" t="s">
        <v>78</v>
      </c>
      <c r="C13" s="17"/>
      <c r="D13" s="17"/>
      <c r="E13" s="17"/>
      <c r="F13" s="17"/>
      <c r="G13" s="17"/>
      <c r="H13" s="17"/>
      <c r="I13" s="17"/>
      <c r="J13" s="17"/>
      <c r="K13" s="17"/>
      <c r="L13" s="17"/>
      <c r="M13" s="17"/>
      <c r="N13" s="17"/>
      <c r="O13" s="17"/>
    </row>
    <row r="14" spans="2:15" ht="15" customHeight="1" x14ac:dyDescent="0.2">
      <c r="B14" s="31" t="s">
        <v>79</v>
      </c>
      <c r="C14" s="32">
        <f t="shared" ref="C14:O14" si="1">C10+C11+C12+C13</f>
        <v>0</v>
      </c>
      <c r="D14" s="32">
        <f t="shared" si="1"/>
        <v>0</v>
      </c>
      <c r="E14" s="32">
        <f t="shared" si="1"/>
        <v>0</v>
      </c>
      <c r="F14" s="32">
        <f t="shared" si="1"/>
        <v>0</v>
      </c>
      <c r="G14" s="32">
        <f t="shared" si="1"/>
        <v>0</v>
      </c>
      <c r="H14" s="32">
        <f t="shared" si="1"/>
        <v>0</v>
      </c>
      <c r="I14" s="32">
        <f t="shared" si="1"/>
        <v>0</v>
      </c>
      <c r="J14" s="32">
        <f t="shared" si="1"/>
        <v>0</v>
      </c>
      <c r="K14" s="32">
        <f t="shared" si="1"/>
        <v>0</v>
      </c>
      <c r="L14" s="32">
        <f t="shared" si="1"/>
        <v>0</v>
      </c>
      <c r="M14" s="32">
        <f t="shared" si="1"/>
        <v>0</v>
      </c>
      <c r="N14" s="32">
        <f t="shared" si="1"/>
        <v>0</v>
      </c>
      <c r="O14" s="32">
        <f t="shared" si="1"/>
        <v>0</v>
      </c>
    </row>
    <row r="15" spans="2:15" ht="15" customHeight="1" x14ac:dyDescent="0.2">
      <c r="B15" s="33" t="s">
        <v>80</v>
      </c>
      <c r="C15" s="34">
        <f>C14*Supuestos!$C$11</f>
        <v>0</v>
      </c>
      <c r="D15" s="34">
        <f>D14*Supuestos!$C$11</f>
        <v>0</v>
      </c>
      <c r="E15" s="34">
        <f>E14*Supuestos!$C$11</f>
        <v>0</v>
      </c>
      <c r="F15" s="34">
        <f>F14*Supuestos!$C$11</f>
        <v>0</v>
      </c>
      <c r="G15" s="34">
        <f>G14*Supuestos!$C$11</f>
        <v>0</v>
      </c>
      <c r="H15" s="34">
        <f>H14*Supuestos!$C$11</f>
        <v>0</v>
      </c>
      <c r="I15" s="34">
        <f>I14*Supuestos!$C$11</f>
        <v>0</v>
      </c>
      <c r="J15" s="34">
        <f>J14*Supuestos!$C$11</f>
        <v>0</v>
      </c>
      <c r="K15" s="34">
        <f>K14*Supuestos!$C$11</f>
        <v>0</v>
      </c>
      <c r="L15" s="34">
        <f>L14*Supuestos!$C$11</f>
        <v>0</v>
      </c>
      <c r="M15" s="34">
        <f>M14*Supuestos!$C$11</f>
        <v>0</v>
      </c>
      <c r="N15" s="34">
        <f>N14*Supuestos!$C$11</f>
        <v>0</v>
      </c>
      <c r="O15" s="34">
        <f>O14*Supuestos!$C$11</f>
        <v>0</v>
      </c>
    </row>
    <row r="16" spans="2:15" ht="15" customHeight="1" x14ac:dyDescent="0.2">
      <c r="B16" s="33" t="s">
        <v>81</v>
      </c>
      <c r="C16" s="34">
        <f>-C14*Supuestos!$C$12*Supuestos!$C$13</f>
        <v>0</v>
      </c>
      <c r="D16" s="34">
        <f>-D14*Supuestos!$C$12*Supuestos!$C$13</f>
        <v>0</v>
      </c>
      <c r="E16" s="34">
        <f>-E14*Supuestos!$C$12*Supuestos!$C$13</f>
        <v>0</v>
      </c>
      <c r="F16" s="34">
        <f>-F14*Supuestos!$C$12*Supuestos!$C$13</f>
        <v>0</v>
      </c>
      <c r="G16" s="34">
        <f>-G14*Supuestos!$C$12*Supuestos!$C$13</f>
        <v>0</v>
      </c>
      <c r="H16" s="34">
        <f>-H14*Supuestos!$C$12*Supuestos!$C$13</f>
        <v>0</v>
      </c>
      <c r="I16" s="34">
        <f>-I14*Supuestos!$C$12*Supuestos!$C$13</f>
        <v>0</v>
      </c>
      <c r="J16" s="34">
        <f>-J14*Supuestos!$C$12*Supuestos!$C$13</f>
        <v>0</v>
      </c>
      <c r="K16" s="34">
        <f>-K14*Supuestos!$C$12*Supuestos!$C$13</f>
        <v>0</v>
      </c>
      <c r="L16" s="34">
        <f>-L14*Supuestos!$C$12*Supuestos!$C$13</f>
        <v>0</v>
      </c>
      <c r="M16" s="34">
        <f>-M14*Supuestos!$C$12*Supuestos!$C$13</f>
        <v>0</v>
      </c>
      <c r="N16" s="34">
        <f>-N14*Supuestos!$C$12*Supuestos!$C$13</f>
        <v>0</v>
      </c>
      <c r="O16" s="34">
        <f>-O14*Supuestos!$C$12*Supuestos!$C$13</f>
        <v>0</v>
      </c>
    </row>
    <row r="17" spans="2:15" ht="15" customHeight="1" x14ac:dyDescent="0.2">
      <c r="B17" s="33" t="s">
        <v>82</v>
      </c>
      <c r="C17" s="34">
        <f>-C14*Supuestos!$C$14</f>
        <v>0</v>
      </c>
      <c r="D17" s="34">
        <f>-D14*Supuestos!$C$14</f>
        <v>0</v>
      </c>
      <c r="E17" s="34">
        <f>-E14*Supuestos!$C$14</f>
        <v>0</v>
      </c>
      <c r="F17" s="34">
        <f>-F14*Supuestos!$C$14</f>
        <v>0</v>
      </c>
      <c r="G17" s="34">
        <f>-G14*Supuestos!$C$14</f>
        <v>0</v>
      </c>
      <c r="H17" s="34">
        <f>-H14*Supuestos!$C$14</f>
        <v>0</v>
      </c>
      <c r="I17" s="34">
        <f>-I14*Supuestos!$C$14</f>
        <v>0</v>
      </c>
      <c r="J17" s="34">
        <f>-J14*Supuestos!$C$14</f>
        <v>0</v>
      </c>
      <c r="K17" s="34">
        <f>-K14*Supuestos!$C$14</f>
        <v>0</v>
      </c>
      <c r="L17" s="34">
        <f>-L14*Supuestos!$C$14</f>
        <v>0</v>
      </c>
      <c r="M17" s="34">
        <f>-M14*Supuestos!$C$14</f>
        <v>0</v>
      </c>
      <c r="N17" s="34">
        <f>-N14*Supuestos!$C$14</f>
        <v>0</v>
      </c>
      <c r="O17" s="34">
        <f>-O14*Supuestos!$C$14</f>
        <v>0</v>
      </c>
    </row>
    <row r="18" spans="2:15" ht="15" customHeight="1" x14ac:dyDescent="0.2">
      <c r="B18" s="20" t="s">
        <v>83</v>
      </c>
      <c r="C18" s="35">
        <f t="shared" ref="C18:O18" si="2">C14+C15+C16+C17</f>
        <v>0</v>
      </c>
      <c r="D18" s="35">
        <f t="shared" si="2"/>
        <v>0</v>
      </c>
      <c r="E18" s="35">
        <f t="shared" si="2"/>
        <v>0</v>
      </c>
      <c r="F18" s="35">
        <f t="shared" si="2"/>
        <v>0</v>
      </c>
      <c r="G18" s="35">
        <f t="shared" si="2"/>
        <v>0</v>
      </c>
      <c r="H18" s="35">
        <f t="shared" si="2"/>
        <v>0</v>
      </c>
      <c r="I18" s="35">
        <f t="shared" si="2"/>
        <v>0</v>
      </c>
      <c r="J18" s="35">
        <f t="shared" si="2"/>
        <v>0</v>
      </c>
      <c r="K18" s="35">
        <f t="shared" si="2"/>
        <v>0</v>
      </c>
      <c r="L18" s="35">
        <f t="shared" si="2"/>
        <v>0</v>
      </c>
      <c r="M18" s="35">
        <f t="shared" si="2"/>
        <v>0</v>
      </c>
      <c r="N18" s="35">
        <f t="shared" si="2"/>
        <v>0</v>
      </c>
      <c r="O18" s="35">
        <f t="shared" si="2"/>
        <v>0</v>
      </c>
    </row>
    <row r="20" spans="2:15" ht="15" customHeight="1" x14ac:dyDescent="0.2">
      <c r="B20" s="28" t="s">
        <v>84</v>
      </c>
      <c r="C20" s="29"/>
      <c r="D20" s="29"/>
      <c r="E20" s="29"/>
      <c r="F20" s="29"/>
      <c r="G20" s="29"/>
      <c r="H20" s="29"/>
      <c r="I20" s="29"/>
      <c r="J20" s="29"/>
      <c r="K20" s="29"/>
      <c r="L20" s="29"/>
      <c r="M20" s="29"/>
      <c r="N20" s="29"/>
      <c r="O20" s="29"/>
    </row>
    <row r="21" spans="2:15" ht="15" customHeight="1" x14ac:dyDescent="0.2">
      <c r="B21" s="30" t="s">
        <v>85</v>
      </c>
      <c r="C21" s="17"/>
      <c r="D21" s="17"/>
      <c r="E21" s="17"/>
      <c r="F21" s="17"/>
      <c r="G21" s="17"/>
      <c r="H21" s="17"/>
      <c r="I21" s="17"/>
      <c r="J21" s="17"/>
      <c r="K21" s="17"/>
      <c r="L21" s="17"/>
      <c r="M21" s="17"/>
      <c r="N21" s="17"/>
      <c r="O21" s="17"/>
    </row>
    <row r="22" spans="2:15" ht="15" customHeight="1" x14ac:dyDescent="0.2">
      <c r="B22" s="30" t="s">
        <v>86</v>
      </c>
      <c r="C22" s="17"/>
      <c r="D22" s="17"/>
      <c r="E22" s="17"/>
      <c r="F22" s="17"/>
      <c r="G22" s="17"/>
      <c r="H22" s="17"/>
      <c r="I22" s="17"/>
      <c r="J22" s="17"/>
      <c r="K22" s="17"/>
      <c r="L22" s="17"/>
      <c r="M22" s="17"/>
      <c r="N22" s="17"/>
      <c r="O22" s="17"/>
    </row>
    <row r="23" spans="2:15" ht="15" customHeight="1" x14ac:dyDescent="0.2">
      <c r="B23" s="30" t="s">
        <v>87</v>
      </c>
      <c r="C23" s="17"/>
      <c r="D23" s="17"/>
      <c r="E23" s="17"/>
      <c r="F23" s="17"/>
      <c r="G23" s="17"/>
      <c r="H23" s="17"/>
      <c r="I23" s="17"/>
      <c r="J23" s="17"/>
      <c r="K23" s="17"/>
      <c r="L23" s="17"/>
      <c r="M23" s="17"/>
      <c r="N23" s="17"/>
      <c r="O23" s="17"/>
    </row>
    <row r="24" spans="2:15" ht="15" customHeight="1" x14ac:dyDescent="0.2">
      <c r="B24" s="30" t="s">
        <v>88</v>
      </c>
      <c r="C24" s="17"/>
      <c r="D24" s="17"/>
      <c r="E24" s="17"/>
      <c r="F24" s="17"/>
      <c r="G24" s="17"/>
      <c r="H24" s="17"/>
      <c r="I24" s="17"/>
      <c r="J24" s="17"/>
      <c r="K24" s="17"/>
      <c r="L24" s="17"/>
      <c r="M24" s="17"/>
      <c r="N24" s="17"/>
      <c r="O24" s="17"/>
    </row>
    <row r="25" spans="2:15" ht="15" customHeight="1" x14ac:dyDescent="0.2">
      <c r="B25" s="30" t="s">
        <v>89</v>
      </c>
      <c r="C25" s="17"/>
      <c r="D25" s="17"/>
      <c r="E25" s="17"/>
      <c r="F25" s="17"/>
      <c r="G25" s="17"/>
      <c r="H25" s="17"/>
      <c r="I25" s="17"/>
      <c r="J25" s="17"/>
      <c r="K25" s="17"/>
      <c r="L25" s="17"/>
      <c r="M25" s="17"/>
      <c r="N25" s="17"/>
      <c r="O25" s="17"/>
    </row>
    <row r="26" spans="2:15" ht="15" customHeight="1" x14ac:dyDescent="0.2">
      <c r="B26" s="20" t="s">
        <v>90</v>
      </c>
      <c r="C26" s="35">
        <f t="shared" ref="C26:O26" si="3">C21+C22+C23+C24+C25</f>
        <v>0</v>
      </c>
      <c r="D26" s="35">
        <f t="shared" si="3"/>
        <v>0</v>
      </c>
      <c r="E26" s="35">
        <f t="shared" si="3"/>
        <v>0</v>
      </c>
      <c r="F26" s="35">
        <f t="shared" si="3"/>
        <v>0</v>
      </c>
      <c r="G26" s="35">
        <f t="shared" si="3"/>
        <v>0</v>
      </c>
      <c r="H26" s="35">
        <f t="shared" si="3"/>
        <v>0</v>
      </c>
      <c r="I26" s="35">
        <f t="shared" si="3"/>
        <v>0</v>
      </c>
      <c r="J26" s="35">
        <f t="shared" si="3"/>
        <v>0</v>
      </c>
      <c r="K26" s="35">
        <f t="shared" si="3"/>
        <v>0</v>
      </c>
      <c r="L26" s="35">
        <f t="shared" si="3"/>
        <v>0</v>
      </c>
      <c r="M26" s="35">
        <f t="shared" si="3"/>
        <v>0</v>
      </c>
      <c r="N26" s="35">
        <f t="shared" si="3"/>
        <v>0</v>
      </c>
      <c r="O26" s="35">
        <f t="shared" si="3"/>
        <v>0</v>
      </c>
    </row>
    <row r="28" spans="2:15" ht="15" customHeight="1" x14ac:dyDescent="0.2">
      <c r="B28" s="23" t="s">
        <v>91</v>
      </c>
      <c r="C28" s="25">
        <f t="shared" ref="C28:O28" si="4">C18+C26</f>
        <v>0</v>
      </c>
      <c r="D28" s="25">
        <f t="shared" si="4"/>
        <v>0</v>
      </c>
      <c r="E28" s="25">
        <f t="shared" si="4"/>
        <v>0</v>
      </c>
      <c r="F28" s="25">
        <f t="shared" si="4"/>
        <v>0</v>
      </c>
      <c r="G28" s="25">
        <f t="shared" si="4"/>
        <v>0</v>
      </c>
      <c r="H28" s="25">
        <f t="shared" si="4"/>
        <v>0</v>
      </c>
      <c r="I28" s="25">
        <f t="shared" si="4"/>
        <v>0</v>
      </c>
      <c r="J28" s="25">
        <f t="shared" si="4"/>
        <v>0</v>
      </c>
      <c r="K28" s="25">
        <f t="shared" si="4"/>
        <v>0</v>
      </c>
      <c r="L28" s="25">
        <f t="shared" si="4"/>
        <v>0</v>
      </c>
      <c r="M28" s="25">
        <f t="shared" si="4"/>
        <v>0</v>
      </c>
      <c r="N28" s="25">
        <f t="shared" si="4"/>
        <v>0</v>
      </c>
      <c r="O28" s="25">
        <f t="shared" si="4"/>
        <v>0</v>
      </c>
    </row>
    <row r="30" spans="2:15" ht="15" customHeight="1" x14ac:dyDescent="0.2">
      <c r="B30" s="26" t="s">
        <v>92</v>
      </c>
      <c r="C30" s="27"/>
      <c r="D30" s="27"/>
      <c r="E30" s="27"/>
      <c r="F30" s="27"/>
      <c r="G30" s="27"/>
      <c r="H30" s="27"/>
      <c r="I30" s="27"/>
      <c r="J30" s="27"/>
      <c r="K30" s="27"/>
      <c r="L30" s="27"/>
      <c r="M30" s="27"/>
      <c r="N30" s="27"/>
      <c r="O30" s="27"/>
    </row>
    <row r="31" spans="2:15" ht="15" customHeight="1" x14ac:dyDescent="0.2">
      <c r="B31" s="28" t="s">
        <v>93</v>
      </c>
      <c r="C31" s="29"/>
      <c r="D31" s="29"/>
      <c r="E31" s="29"/>
      <c r="F31" s="29"/>
      <c r="G31" s="29"/>
      <c r="H31" s="29"/>
      <c r="I31" s="29"/>
      <c r="J31" s="29"/>
      <c r="K31" s="29"/>
      <c r="L31" s="29"/>
      <c r="M31" s="29"/>
      <c r="N31" s="29"/>
      <c r="O31" s="29"/>
    </row>
    <row r="32" spans="2:15" ht="15" customHeight="1" x14ac:dyDescent="0.2">
      <c r="B32" s="33" t="s">
        <v>94</v>
      </c>
      <c r="C32" s="34">
        <f>Supuestos!$C$9*Supuestos!$C$10</f>
        <v>35000000</v>
      </c>
      <c r="D32" s="34">
        <f>Supuestos!$C$9*Supuestos!$C$10</f>
        <v>35000000</v>
      </c>
      <c r="E32" s="34">
        <f>Supuestos!$C$9*Supuestos!$C$10</f>
        <v>35000000</v>
      </c>
      <c r="F32" s="34">
        <f>Supuestos!$C$9*Supuestos!$C$10</f>
        <v>35000000</v>
      </c>
      <c r="G32" s="34">
        <f>Supuestos!$C$9*Supuestos!$C$10</f>
        <v>35000000</v>
      </c>
      <c r="H32" s="34">
        <f>Supuestos!$C$9*Supuestos!$C$10</f>
        <v>35000000</v>
      </c>
      <c r="I32" s="34">
        <f>Supuestos!$C$9*Supuestos!$C$10</f>
        <v>35000000</v>
      </c>
      <c r="J32" s="34">
        <f>Supuestos!$C$9*Supuestos!$C$10</f>
        <v>35000000</v>
      </c>
      <c r="K32" s="34">
        <f>Supuestos!$C$9*Supuestos!$C$10</f>
        <v>35000000</v>
      </c>
      <c r="L32" s="34">
        <f>Supuestos!$C$9*Supuestos!$C$10</f>
        <v>35000000</v>
      </c>
      <c r="M32" s="34">
        <f>Supuestos!$C$9*Supuestos!$C$10</f>
        <v>35000000</v>
      </c>
      <c r="N32" s="34">
        <f>Supuestos!$C$9*Supuestos!$C$10</f>
        <v>35000000</v>
      </c>
      <c r="O32" s="34">
        <f>Supuestos!$C$9*Supuestos!$C$10</f>
        <v>35000000</v>
      </c>
    </row>
    <row r="33" spans="2:15" ht="15" customHeight="1" x14ac:dyDescent="0.2">
      <c r="B33" s="30" t="s">
        <v>95</v>
      </c>
      <c r="C33" s="17"/>
      <c r="D33" s="17"/>
      <c r="E33" s="17"/>
      <c r="F33" s="17"/>
      <c r="G33" s="17"/>
      <c r="H33" s="17"/>
      <c r="I33" s="17"/>
      <c r="J33" s="17"/>
      <c r="K33" s="17"/>
      <c r="L33" s="17"/>
      <c r="M33" s="17"/>
      <c r="N33" s="17"/>
      <c r="O33" s="17"/>
    </row>
    <row r="34" spans="2:15" ht="15" customHeight="1" x14ac:dyDescent="0.2">
      <c r="B34" s="30" t="s">
        <v>96</v>
      </c>
      <c r="C34" s="17"/>
      <c r="D34" s="17"/>
      <c r="E34" s="17"/>
      <c r="F34" s="17"/>
      <c r="G34" s="17"/>
      <c r="H34" s="17"/>
      <c r="I34" s="17"/>
      <c r="J34" s="17"/>
      <c r="K34" s="17"/>
      <c r="L34" s="17"/>
      <c r="M34" s="17"/>
      <c r="N34" s="17"/>
      <c r="O34" s="17"/>
    </row>
    <row r="35" spans="2:15" ht="15" customHeight="1" x14ac:dyDescent="0.2">
      <c r="B35" s="30" t="s">
        <v>97</v>
      </c>
      <c r="C35" s="17"/>
      <c r="D35" s="17"/>
      <c r="E35" s="17"/>
      <c r="F35" s="17"/>
      <c r="G35" s="17"/>
      <c r="H35" s="17"/>
      <c r="I35" s="17"/>
      <c r="J35" s="17"/>
      <c r="K35" s="17"/>
      <c r="L35" s="17"/>
      <c r="M35" s="17"/>
      <c r="N35" s="17"/>
      <c r="O35" s="17"/>
    </row>
    <row r="36" spans="2:15" ht="15" customHeight="1" x14ac:dyDescent="0.2">
      <c r="B36" s="31" t="s">
        <v>98</v>
      </c>
      <c r="C36" s="32">
        <f t="shared" ref="C36:O36" si="5">C32+C34+C35</f>
        <v>35000000</v>
      </c>
      <c r="D36" s="32">
        <f t="shared" si="5"/>
        <v>35000000</v>
      </c>
      <c r="E36" s="32">
        <f t="shared" si="5"/>
        <v>35000000</v>
      </c>
      <c r="F36" s="32">
        <f t="shared" si="5"/>
        <v>35000000</v>
      </c>
      <c r="G36" s="32">
        <f t="shared" si="5"/>
        <v>35000000</v>
      </c>
      <c r="H36" s="32">
        <f t="shared" si="5"/>
        <v>35000000</v>
      </c>
      <c r="I36" s="32">
        <f t="shared" si="5"/>
        <v>35000000</v>
      </c>
      <c r="J36" s="32">
        <f t="shared" si="5"/>
        <v>35000000</v>
      </c>
      <c r="K36" s="32">
        <f t="shared" si="5"/>
        <v>35000000</v>
      </c>
      <c r="L36" s="32">
        <f t="shared" si="5"/>
        <v>35000000</v>
      </c>
      <c r="M36" s="32">
        <f t="shared" si="5"/>
        <v>35000000</v>
      </c>
      <c r="N36" s="32">
        <f t="shared" si="5"/>
        <v>35000000</v>
      </c>
      <c r="O36" s="32">
        <f t="shared" si="5"/>
        <v>35000000</v>
      </c>
    </row>
    <row r="37" spans="2:15" ht="15" customHeight="1" x14ac:dyDescent="0.2">
      <c r="B37" s="33" t="s">
        <v>99</v>
      </c>
      <c r="C37" s="34">
        <f>C36*Supuestos!$C$19</f>
        <v>2975000</v>
      </c>
      <c r="D37" s="34">
        <f>D36*Supuestos!$C$19</f>
        <v>2975000</v>
      </c>
      <c r="E37" s="34">
        <f>E36*Supuestos!$C$19</f>
        <v>2975000</v>
      </c>
      <c r="F37" s="34">
        <f>F36*Supuestos!$C$19</f>
        <v>2975000</v>
      </c>
      <c r="G37" s="34">
        <f>G36*Supuestos!$C$19</f>
        <v>2975000</v>
      </c>
      <c r="H37" s="34">
        <f>H36*Supuestos!$C$19</f>
        <v>2975000</v>
      </c>
      <c r="I37" s="34">
        <f>I36*Supuestos!$C$19</f>
        <v>2975000</v>
      </c>
      <c r="J37" s="34">
        <f>J36*Supuestos!$C$19</f>
        <v>2975000</v>
      </c>
      <c r="K37" s="34">
        <f>K36*Supuestos!$C$19</f>
        <v>2975000</v>
      </c>
      <c r="L37" s="34">
        <f>L36*Supuestos!$C$19</f>
        <v>2975000</v>
      </c>
      <c r="M37" s="34">
        <f>M36*Supuestos!$C$19</f>
        <v>2975000</v>
      </c>
      <c r="N37" s="34">
        <f>N36*Supuestos!$C$19</f>
        <v>2975000</v>
      </c>
      <c r="O37" s="34">
        <f>O36*Supuestos!$C$19</f>
        <v>2975000</v>
      </c>
    </row>
    <row r="38" spans="2:15" ht="15" customHeight="1" x14ac:dyDescent="0.2">
      <c r="B38" s="33" t="s">
        <v>100</v>
      </c>
      <c r="C38" s="34">
        <f>C36*Supuestos!$C$20</f>
        <v>4200000</v>
      </c>
      <c r="D38" s="34">
        <f>D36*Supuestos!$C$20</f>
        <v>4200000</v>
      </c>
      <c r="E38" s="34">
        <f>E36*Supuestos!$C$20</f>
        <v>4200000</v>
      </c>
      <c r="F38" s="34">
        <f>F36*Supuestos!$C$20</f>
        <v>4200000</v>
      </c>
      <c r="G38" s="34">
        <f>G36*Supuestos!$C$20</f>
        <v>4200000</v>
      </c>
      <c r="H38" s="34">
        <f>H36*Supuestos!$C$20</f>
        <v>4200000</v>
      </c>
      <c r="I38" s="34">
        <f>I36*Supuestos!$C$20</f>
        <v>4200000</v>
      </c>
      <c r="J38" s="34">
        <f>J36*Supuestos!$C$20</f>
        <v>4200000</v>
      </c>
      <c r="K38" s="34">
        <f>K36*Supuestos!$C$20</f>
        <v>4200000</v>
      </c>
      <c r="L38" s="34">
        <f>L36*Supuestos!$C$20</f>
        <v>4200000</v>
      </c>
      <c r="M38" s="34">
        <f>M36*Supuestos!$C$20</f>
        <v>4200000</v>
      </c>
      <c r="N38" s="34">
        <f>N36*Supuestos!$C$20</f>
        <v>4200000</v>
      </c>
      <c r="O38" s="34">
        <f>O36*Supuestos!$C$20</f>
        <v>4200000</v>
      </c>
    </row>
    <row r="39" spans="2:15" ht="15" customHeight="1" x14ac:dyDescent="0.2">
      <c r="B39" s="33" t="s">
        <v>101</v>
      </c>
      <c r="C39" s="34">
        <f>C36*Supuestos!$C$21</f>
        <v>182700</v>
      </c>
      <c r="D39" s="34">
        <f>D36*Supuestos!$C$21</f>
        <v>182700</v>
      </c>
      <c r="E39" s="34">
        <f>E36*Supuestos!$C$21</f>
        <v>182700</v>
      </c>
      <c r="F39" s="34">
        <f>F36*Supuestos!$C$21</f>
        <v>182700</v>
      </c>
      <c r="G39" s="34">
        <f>G36*Supuestos!$C$21</f>
        <v>182700</v>
      </c>
      <c r="H39" s="34">
        <f>H36*Supuestos!$C$21</f>
        <v>182700</v>
      </c>
      <c r="I39" s="34">
        <f>I36*Supuestos!$C$21</f>
        <v>182700</v>
      </c>
      <c r="J39" s="34">
        <f>J36*Supuestos!$C$21</f>
        <v>182700</v>
      </c>
      <c r="K39" s="34">
        <f>K36*Supuestos!$C$21</f>
        <v>182700</v>
      </c>
      <c r="L39" s="34">
        <f>L36*Supuestos!$C$21</f>
        <v>182700</v>
      </c>
      <c r="M39" s="34">
        <f>M36*Supuestos!$C$21</f>
        <v>182700</v>
      </c>
      <c r="N39" s="34">
        <f>N36*Supuestos!$C$21</f>
        <v>182700</v>
      </c>
      <c r="O39" s="34">
        <f>O36*Supuestos!$C$21</f>
        <v>182700</v>
      </c>
    </row>
    <row r="40" spans="2:15" ht="15" customHeight="1" x14ac:dyDescent="0.2">
      <c r="B40" s="33" t="s">
        <v>102</v>
      </c>
      <c r="C40" s="34">
        <f>C36*Supuestos!$C$22</f>
        <v>1400000</v>
      </c>
      <c r="D40" s="34">
        <f>D36*Supuestos!$C$22</f>
        <v>1400000</v>
      </c>
      <c r="E40" s="34">
        <f>E36*Supuestos!$C$22</f>
        <v>1400000</v>
      </c>
      <c r="F40" s="34">
        <f>F36*Supuestos!$C$22</f>
        <v>1400000</v>
      </c>
      <c r="G40" s="34">
        <f>G36*Supuestos!$C$22</f>
        <v>1400000</v>
      </c>
      <c r="H40" s="34">
        <f>H36*Supuestos!$C$22</f>
        <v>1400000</v>
      </c>
      <c r="I40" s="34">
        <f>I36*Supuestos!$C$22</f>
        <v>1400000</v>
      </c>
      <c r="J40" s="34">
        <f>J36*Supuestos!$C$22</f>
        <v>1400000</v>
      </c>
      <c r="K40" s="34">
        <f>K36*Supuestos!$C$22</f>
        <v>1400000</v>
      </c>
      <c r="L40" s="34">
        <f>L36*Supuestos!$C$22</f>
        <v>1400000</v>
      </c>
      <c r="M40" s="34">
        <f>M36*Supuestos!$C$22</f>
        <v>1400000</v>
      </c>
      <c r="N40" s="34">
        <f>N36*Supuestos!$C$22</f>
        <v>1400000</v>
      </c>
      <c r="O40" s="34">
        <f>O36*Supuestos!$C$22</f>
        <v>1400000</v>
      </c>
    </row>
    <row r="41" spans="2:15" ht="15" customHeight="1" x14ac:dyDescent="0.2">
      <c r="B41" s="33" t="s">
        <v>103</v>
      </c>
      <c r="C41" s="34">
        <f>C36*Supuestos!$C$23</f>
        <v>1050000</v>
      </c>
      <c r="D41" s="34">
        <f>D36*Supuestos!$C$23</f>
        <v>1050000</v>
      </c>
      <c r="E41" s="34">
        <f>E36*Supuestos!$C$23</f>
        <v>1050000</v>
      </c>
      <c r="F41" s="34">
        <f>F36*Supuestos!$C$23</f>
        <v>1050000</v>
      </c>
      <c r="G41" s="34">
        <f>G36*Supuestos!$C$23</f>
        <v>1050000</v>
      </c>
      <c r="H41" s="34">
        <f>H36*Supuestos!$C$23</f>
        <v>1050000</v>
      </c>
      <c r="I41" s="34">
        <f>I36*Supuestos!$C$23</f>
        <v>1050000</v>
      </c>
      <c r="J41" s="34">
        <f>J36*Supuestos!$C$23</f>
        <v>1050000</v>
      </c>
      <c r="K41" s="34">
        <f>K36*Supuestos!$C$23</f>
        <v>1050000</v>
      </c>
      <c r="L41" s="34">
        <f>L36*Supuestos!$C$23</f>
        <v>1050000</v>
      </c>
      <c r="M41" s="34">
        <f>M36*Supuestos!$C$23</f>
        <v>1050000</v>
      </c>
      <c r="N41" s="34">
        <f>N36*Supuestos!$C$23</f>
        <v>1050000</v>
      </c>
      <c r="O41" s="34">
        <f>O36*Supuestos!$C$23</f>
        <v>1050000</v>
      </c>
    </row>
    <row r="42" spans="2:15" ht="15" customHeight="1" x14ac:dyDescent="0.2">
      <c r="B42" s="33" t="s">
        <v>104</v>
      </c>
      <c r="C42" s="34">
        <f>C36*Supuestos!$C$24</f>
        <v>700000</v>
      </c>
      <c r="D42" s="34">
        <f>D36*Supuestos!$C$24</f>
        <v>700000</v>
      </c>
      <c r="E42" s="34">
        <f>E36*Supuestos!$C$24</f>
        <v>700000</v>
      </c>
      <c r="F42" s="34">
        <f>F36*Supuestos!$C$24</f>
        <v>700000</v>
      </c>
      <c r="G42" s="34">
        <f>G36*Supuestos!$C$24</f>
        <v>700000</v>
      </c>
      <c r="H42" s="34">
        <f>H36*Supuestos!$C$24</f>
        <v>700000</v>
      </c>
      <c r="I42" s="34">
        <f>I36*Supuestos!$C$24</f>
        <v>700000</v>
      </c>
      <c r="J42" s="34">
        <f>J36*Supuestos!$C$24</f>
        <v>700000</v>
      </c>
      <c r="K42" s="34">
        <f>K36*Supuestos!$C$24</f>
        <v>700000</v>
      </c>
      <c r="L42" s="34">
        <f>L36*Supuestos!$C$24</f>
        <v>700000</v>
      </c>
      <c r="M42" s="34">
        <f>M36*Supuestos!$C$24</f>
        <v>700000</v>
      </c>
      <c r="N42" s="34">
        <f>N36*Supuestos!$C$24</f>
        <v>700000</v>
      </c>
      <c r="O42" s="34">
        <f>O36*Supuestos!$C$24</f>
        <v>700000</v>
      </c>
    </row>
    <row r="43" spans="2:15" ht="15" customHeight="1" x14ac:dyDescent="0.2">
      <c r="B43" s="33" t="s">
        <v>105</v>
      </c>
      <c r="C43" s="34">
        <f>C36*Supuestos!$C$29</f>
        <v>2915500</v>
      </c>
      <c r="D43" s="34">
        <f>D36*Supuestos!$C$29</f>
        <v>2915500</v>
      </c>
      <c r="E43" s="34">
        <f>E36*Supuestos!$C$29</f>
        <v>2915500</v>
      </c>
      <c r="F43" s="34">
        <f>F36*Supuestos!$C$29</f>
        <v>2915500</v>
      </c>
      <c r="G43" s="34">
        <f>G36*Supuestos!$C$29</f>
        <v>2915500</v>
      </c>
      <c r="H43" s="34">
        <f>H36*Supuestos!$C$29</f>
        <v>2915500</v>
      </c>
      <c r="I43" s="34">
        <f>I36*Supuestos!$C$29</f>
        <v>2915500</v>
      </c>
      <c r="J43" s="34">
        <f>J36*Supuestos!$C$29</f>
        <v>2915500</v>
      </c>
      <c r="K43" s="34">
        <f>K36*Supuestos!$C$29</f>
        <v>2915500</v>
      </c>
      <c r="L43" s="34">
        <f>L36*Supuestos!$C$29</f>
        <v>2915500</v>
      </c>
      <c r="M43" s="34">
        <f>M36*Supuestos!$C$29</f>
        <v>2915500</v>
      </c>
      <c r="N43" s="34">
        <f>N36*Supuestos!$C$29</f>
        <v>2915500</v>
      </c>
      <c r="O43" s="34">
        <f>O36*Supuestos!$C$29</f>
        <v>2915500</v>
      </c>
    </row>
    <row r="44" spans="2:15" ht="15" customHeight="1" x14ac:dyDescent="0.2">
      <c r="B44" s="33" t="s">
        <v>106</v>
      </c>
      <c r="C44" s="34">
        <f>C36*Supuestos!$C$30</f>
        <v>350000</v>
      </c>
      <c r="D44" s="34">
        <f>D36*Supuestos!$C$30</f>
        <v>350000</v>
      </c>
      <c r="E44" s="34">
        <f>E36*Supuestos!$C$30</f>
        <v>350000</v>
      </c>
      <c r="F44" s="34">
        <f>F36*Supuestos!$C$30</f>
        <v>350000</v>
      </c>
      <c r="G44" s="34">
        <f>G36*Supuestos!$C$30</f>
        <v>350000</v>
      </c>
      <c r="H44" s="34">
        <f>H36*Supuestos!$C$30</f>
        <v>350000</v>
      </c>
      <c r="I44" s="34">
        <f>I36*Supuestos!$C$30</f>
        <v>350000</v>
      </c>
      <c r="J44" s="34">
        <f>J36*Supuestos!$C$30</f>
        <v>350000</v>
      </c>
      <c r="K44" s="34">
        <f>K36*Supuestos!$C$30</f>
        <v>350000</v>
      </c>
      <c r="L44" s="34">
        <f>L36*Supuestos!$C$30</f>
        <v>350000</v>
      </c>
      <c r="M44" s="34">
        <f>M36*Supuestos!$C$30</f>
        <v>350000</v>
      </c>
      <c r="N44" s="34">
        <f>N36*Supuestos!$C$30</f>
        <v>350000</v>
      </c>
      <c r="O44" s="34">
        <f>O36*Supuestos!$C$30</f>
        <v>350000</v>
      </c>
    </row>
    <row r="45" spans="2:15" ht="15" customHeight="1" x14ac:dyDescent="0.2">
      <c r="B45" s="33" t="s">
        <v>107</v>
      </c>
      <c r="C45" s="34">
        <f>C36*Supuestos!$C$31</f>
        <v>2915500</v>
      </c>
      <c r="D45" s="34">
        <f>D36*Supuestos!$C$31</f>
        <v>2915500</v>
      </c>
      <c r="E45" s="34">
        <f>E36*Supuestos!$C$31</f>
        <v>2915500</v>
      </c>
      <c r="F45" s="34">
        <f>F36*Supuestos!$C$31</f>
        <v>2915500</v>
      </c>
      <c r="G45" s="34">
        <f>G36*Supuestos!$C$31</f>
        <v>2915500</v>
      </c>
      <c r="H45" s="34">
        <f>H36*Supuestos!$C$31</f>
        <v>2915500</v>
      </c>
      <c r="I45" s="34">
        <f>I36*Supuestos!$C$31</f>
        <v>2915500</v>
      </c>
      <c r="J45" s="34">
        <f>J36*Supuestos!$C$31</f>
        <v>2915500</v>
      </c>
      <c r="K45" s="34">
        <f>K36*Supuestos!$C$31</f>
        <v>2915500</v>
      </c>
      <c r="L45" s="34">
        <f>L36*Supuestos!$C$31</f>
        <v>2915500</v>
      </c>
      <c r="M45" s="34">
        <f>M36*Supuestos!$C$31</f>
        <v>2915500</v>
      </c>
      <c r="N45" s="34">
        <f>N36*Supuestos!$C$31</f>
        <v>2915500</v>
      </c>
      <c r="O45" s="34">
        <f>O36*Supuestos!$C$31</f>
        <v>2915500</v>
      </c>
    </row>
    <row r="46" spans="2:15" ht="15" customHeight="1" x14ac:dyDescent="0.2">
      <c r="B46" s="33" t="s">
        <v>108</v>
      </c>
      <c r="C46" s="34">
        <f>C36*Supuestos!$C$32</f>
        <v>1459500</v>
      </c>
      <c r="D46" s="34">
        <f>D36*Supuestos!$C$32</f>
        <v>1459500</v>
      </c>
      <c r="E46" s="34">
        <f>E36*Supuestos!$C$32</f>
        <v>1459500</v>
      </c>
      <c r="F46" s="34">
        <f>F36*Supuestos!$C$32</f>
        <v>1459500</v>
      </c>
      <c r="G46" s="34">
        <f>G36*Supuestos!$C$32</f>
        <v>1459500</v>
      </c>
      <c r="H46" s="34">
        <f>H36*Supuestos!$C$32</f>
        <v>1459500</v>
      </c>
      <c r="I46" s="34">
        <f>I36*Supuestos!$C$32</f>
        <v>1459500</v>
      </c>
      <c r="J46" s="34">
        <f>J36*Supuestos!$C$32</f>
        <v>1459500</v>
      </c>
      <c r="K46" s="34">
        <f>K36*Supuestos!$C$32</f>
        <v>1459500</v>
      </c>
      <c r="L46" s="34">
        <f>L36*Supuestos!$C$32</f>
        <v>1459500</v>
      </c>
      <c r="M46" s="34">
        <f>M36*Supuestos!$C$32</f>
        <v>1459500</v>
      </c>
      <c r="N46" s="34">
        <f>N36*Supuestos!$C$32</f>
        <v>1459500</v>
      </c>
      <c r="O46" s="34">
        <f>O36*Supuestos!$C$32</f>
        <v>1459500</v>
      </c>
    </row>
    <row r="47" spans="2:15" ht="15" customHeight="1" x14ac:dyDescent="0.2">
      <c r="B47" s="20" t="s">
        <v>109</v>
      </c>
      <c r="C47" s="35">
        <f t="shared" ref="C47:O47" si="6">C32+C33+C34+C35+C37+C38+C39+C40+C41+C42+C43+C44+C45+C46</f>
        <v>53148200</v>
      </c>
      <c r="D47" s="35">
        <f t="shared" si="6"/>
        <v>53148200</v>
      </c>
      <c r="E47" s="35">
        <f t="shared" si="6"/>
        <v>53148200</v>
      </c>
      <c r="F47" s="35">
        <f t="shared" si="6"/>
        <v>53148200</v>
      </c>
      <c r="G47" s="35">
        <f t="shared" si="6"/>
        <v>53148200</v>
      </c>
      <c r="H47" s="35">
        <f t="shared" si="6"/>
        <v>53148200</v>
      </c>
      <c r="I47" s="35">
        <f t="shared" si="6"/>
        <v>53148200</v>
      </c>
      <c r="J47" s="35">
        <f t="shared" si="6"/>
        <v>53148200</v>
      </c>
      <c r="K47" s="35">
        <f t="shared" si="6"/>
        <v>53148200</v>
      </c>
      <c r="L47" s="35">
        <f t="shared" si="6"/>
        <v>53148200</v>
      </c>
      <c r="M47" s="35">
        <f t="shared" si="6"/>
        <v>53148200</v>
      </c>
      <c r="N47" s="35">
        <f t="shared" si="6"/>
        <v>53148200</v>
      </c>
      <c r="O47" s="35">
        <f t="shared" si="6"/>
        <v>53148200</v>
      </c>
    </row>
    <row r="49" spans="2:15" ht="15" customHeight="1" x14ac:dyDescent="0.2">
      <c r="B49" s="28" t="s">
        <v>110</v>
      </c>
      <c r="C49" s="29"/>
      <c r="D49" s="29"/>
      <c r="E49" s="29"/>
      <c r="F49" s="29"/>
      <c r="G49" s="29"/>
      <c r="H49" s="29"/>
      <c r="I49" s="29"/>
      <c r="J49" s="29"/>
      <c r="K49" s="29"/>
      <c r="L49" s="29"/>
      <c r="M49" s="29"/>
      <c r="N49" s="29"/>
      <c r="O49" s="29"/>
    </row>
    <row r="50" spans="2:15" ht="15" customHeight="1" x14ac:dyDescent="0.2">
      <c r="B50" s="30" t="s">
        <v>111</v>
      </c>
      <c r="C50" s="17"/>
      <c r="D50" s="17"/>
      <c r="E50" s="17"/>
      <c r="F50" s="17"/>
      <c r="G50" s="17"/>
      <c r="H50" s="17"/>
      <c r="I50" s="17"/>
      <c r="J50" s="17"/>
      <c r="K50" s="17"/>
      <c r="L50" s="17"/>
      <c r="M50" s="17"/>
      <c r="N50" s="17"/>
      <c r="O50" s="17"/>
    </row>
    <row r="51" spans="2:15" ht="15" customHeight="1" x14ac:dyDescent="0.2">
      <c r="B51" s="30" t="s">
        <v>112</v>
      </c>
      <c r="C51" s="17"/>
      <c r="D51" s="17"/>
      <c r="E51" s="17"/>
      <c r="F51" s="17"/>
      <c r="G51" s="17"/>
      <c r="H51" s="17"/>
      <c r="I51" s="17"/>
      <c r="J51" s="17"/>
      <c r="K51" s="17"/>
      <c r="L51" s="17"/>
      <c r="M51" s="17"/>
      <c r="N51" s="17"/>
      <c r="O51" s="17"/>
    </row>
    <row r="52" spans="2:15" ht="15" customHeight="1" x14ac:dyDescent="0.2">
      <c r="B52" s="30" t="s">
        <v>113</v>
      </c>
      <c r="C52" s="17"/>
      <c r="D52" s="17"/>
      <c r="E52" s="17"/>
      <c r="F52" s="17"/>
      <c r="G52" s="17"/>
      <c r="H52" s="17"/>
      <c r="I52" s="17"/>
      <c r="J52" s="17"/>
      <c r="K52" s="17"/>
      <c r="L52" s="17"/>
      <c r="M52" s="17"/>
      <c r="N52" s="17"/>
      <c r="O52" s="17"/>
    </row>
    <row r="53" spans="2:15" ht="15" customHeight="1" x14ac:dyDescent="0.2">
      <c r="B53" s="30" t="s">
        <v>114</v>
      </c>
      <c r="C53" s="17"/>
      <c r="D53" s="17"/>
      <c r="E53" s="17"/>
      <c r="F53" s="17"/>
      <c r="G53" s="17"/>
      <c r="H53" s="17"/>
      <c r="I53" s="17"/>
      <c r="J53" s="17"/>
      <c r="K53" s="17"/>
      <c r="L53" s="17"/>
      <c r="M53" s="17"/>
      <c r="N53" s="17"/>
      <c r="O53" s="17"/>
    </row>
    <row r="54" spans="2:15" ht="15" customHeight="1" x14ac:dyDescent="0.2">
      <c r="B54" s="30" t="s">
        <v>115</v>
      </c>
      <c r="C54" s="17"/>
      <c r="D54" s="17"/>
      <c r="E54" s="17"/>
      <c r="F54" s="17"/>
      <c r="G54" s="17"/>
      <c r="H54" s="17"/>
      <c r="I54" s="17"/>
      <c r="J54" s="17"/>
      <c r="K54" s="17"/>
      <c r="L54" s="17"/>
      <c r="M54" s="17"/>
      <c r="N54" s="17"/>
      <c r="O54" s="17"/>
    </row>
    <row r="55" spans="2:15" ht="15" customHeight="1" x14ac:dyDescent="0.2">
      <c r="B55" s="30" t="s">
        <v>116</v>
      </c>
      <c r="C55" s="17"/>
      <c r="D55" s="17"/>
      <c r="E55" s="17"/>
      <c r="F55" s="17"/>
      <c r="G55" s="17"/>
      <c r="H55" s="17"/>
      <c r="I55" s="17"/>
      <c r="J55" s="17"/>
      <c r="K55" s="17"/>
      <c r="L55" s="17"/>
      <c r="M55" s="17"/>
      <c r="N55" s="17"/>
      <c r="O55" s="17"/>
    </row>
    <row r="56" spans="2:15" ht="15" customHeight="1" x14ac:dyDescent="0.2">
      <c r="B56" s="30" t="s">
        <v>117</v>
      </c>
      <c r="C56" s="17"/>
      <c r="D56" s="17"/>
      <c r="E56" s="17"/>
      <c r="F56" s="17"/>
      <c r="G56" s="17"/>
      <c r="H56" s="17"/>
      <c r="I56" s="17"/>
      <c r="J56" s="17"/>
      <c r="K56" s="17"/>
      <c r="L56" s="17"/>
      <c r="M56" s="17"/>
      <c r="N56" s="17"/>
      <c r="O56" s="17"/>
    </row>
    <row r="57" spans="2:15" ht="15" customHeight="1" x14ac:dyDescent="0.2">
      <c r="B57" s="30" t="s">
        <v>118</v>
      </c>
      <c r="C57" s="17"/>
      <c r="D57" s="17"/>
      <c r="E57" s="17"/>
      <c r="F57" s="17"/>
      <c r="G57" s="17"/>
      <c r="H57" s="17"/>
      <c r="I57" s="17"/>
      <c r="J57" s="17"/>
      <c r="K57" s="17"/>
      <c r="L57" s="17"/>
      <c r="M57" s="17"/>
      <c r="N57" s="17"/>
      <c r="O57" s="17"/>
    </row>
    <row r="58" spans="2:15" ht="15" customHeight="1" x14ac:dyDescent="0.2">
      <c r="B58" s="30" t="s">
        <v>119</v>
      </c>
      <c r="C58" s="17"/>
      <c r="D58" s="17"/>
      <c r="E58" s="17"/>
      <c r="F58" s="17"/>
      <c r="G58" s="17"/>
      <c r="H58" s="17"/>
      <c r="I58" s="17"/>
      <c r="J58" s="17"/>
      <c r="K58" s="17"/>
      <c r="L58" s="17"/>
      <c r="M58" s="17"/>
      <c r="N58" s="17"/>
      <c r="O58" s="17"/>
    </row>
    <row r="59" spans="2:15" ht="15" customHeight="1" x14ac:dyDescent="0.2">
      <c r="B59" s="30" t="s">
        <v>120</v>
      </c>
      <c r="C59" s="17"/>
      <c r="D59" s="17"/>
      <c r="E59" s="17"/>
      <c r="F59" s="17"/>
      <c r="G59" s="17"/>
      <c r="H59" s="17"/>
      <c r="I59" s="17"/>
      <c r="J59" s="17"/>
      <c r="K59" s="17"/>
      <c r="L59" s="17"/>
      <c r="M59" s="17"/>
      <c r="N59" s="17"/>
      <c r="O59" s="17"/>
    </row>
    <row r="60" spans="2:15" ht="15" customHeight="1" x14ac:dyDescent="0.2">
      <c r="B60" s="20" t="s">
        <v>121</v>
      </c>
      <c r="C60" s="35">
        <f t="shared" ref="C60:O60" si="7">C50+C51+C52+C53+C54+C55+C56+C57+C58+C59</f>
        <v>0</v>
      </c>
      <c r="D60" s="35">
        <f t="shared" si="7"/>
        <v>0</v>
      </c>
      <c r="E60" s="35">
        <f t="shared" si="7"/>
        <v>0</v>
      </c>
      <c r="F60" s="35">
        <f t="shared" si="7"/>
        <v>0</v>
      </c>
      <c r="G60" s="35">
        <f t="shared" si="7"/>
        <v>0</v>
      </c>
      <c r="H60" s="35">
        <f t="shared" si="7"/>
        <v>0</v>
      </c>
      <c r="I60" s="35">
        <f t="shared" si="7"/>
        <v>0</v>
      </c>
      <c r="J60" s="35">
        <f t="shared" si="7"/>
        <v>0</v>
      </c>
      <c r="K60" s="35">
        <f t="shared" si="7"/>
        <v>0</v>
      </c>
      <c r="L60" s="35">
        <f t="shared" si="7"/>
        <v>0</v>
      </c>
      <c r="M60" s="35">
        <f t="shared" si="7"/>
        <v>0</v>
      </c>
      <c r="N60" s="35">
        <f t="shared" si="7"/>
        <v>0</v>
      </c>
      <c r="O60" s="35">
        <f t="shared" si="7"/>
        <v>0</v>
      </c>
    </row>
    <row r="62" spans="2:15" ht="15" customHeight="1" x14ac:dyDescent="0.2">
      <c r="B62" s="28" t="s">
        <v>122</v>
      </c>
      <c r="C62" s="29"/>
      <c r="D62" s="29"/>
      <c r="E62" s="29"/>
      <c r="F62" s="29"/>
      <c r="G62" s="29"/>
      <c r="H62" s="29"/>
      <c r="I62" s="29"/>
      <c r="J62" s="29"/>
      <c r="K62" s="29"/>
      <c r="L62" s="29"/>
      <c r="M62" s="29"/>
      <c r="N62" s="29"/>
      <c r="O62" s="29"/>
    </row>
    <row r="63" spans="2:15" ht="15" customHeight="1" x14ac:dyDescent="0.2">
      <c r="B63" s="30" t="s">
        <v>123</v>
      </c>
      <c r="C63" s="17"/>
      <c r="D63" s="17"/>
      <c r="E63" s="17"/>
      <c r="F63" s="17"/>
      <c r="G63" s="17"/>
      <c r="H63" s="17"/>
      <c r="I63" s="17"/>
      <c r="J63" s="17"/>
      <c r="K63" s="17"/>
      <c r="L63" s="17"/>
      <c r="M63" s="17"/>
      <c r="N63" s="17"/>
      <c r="O63" s="17"/>
    </row>
    <row r="64" spans="2:15" ht="15" customHeight="1" x14ac:dyDescent="0.2">
      <c r="B64" s="30" t="s">
        <v>124</v>
      </c>
      <c r="C64" s="17"/>
      <c r="D64" s="17"/>
      <c r="E64" s="17"/>
      <c r="F64" s="17"/>
      <c r="G64" s="17"/>
      <c r="H64" s="17"/>
      <c r="I64" s="17"/>
      <c r="J64" s="17"/>
      <c r="K64" s="17"/>
      <c r="L64" s="17"/>
      <c r="M64" s="17"/>
      <c r="N64" s="17"/>
      <c r="O64" s="17"/>
    </row>
    <row r="65" spans="2:15" ht="15" customHeight="1" x14ac:dyDescent="0.2">
      <c r="B65" s="30" t="s">
        <v>125</v>
      </c>
      <c r="C65" s="17"/>
      <c r="D65" s="17"/>
      <c r="E65" s="17"/>
      <c r="F65" s="17"/>
      <c r="G65" s="17"/>
      <c r="H65" s="17"/>
      <c r="I65" s="17"/>
      <c r="J65" s="17"/>
      <c r="K65" s="17"/>
      <c r="L65" s="17"/>
      <c r="M65" s="17"/>
      <c r="N65" s="17"/>
      <c r="O65" s="17"/>
    </row>
    <row r="66" spans="2:15" ht="15" customHeight="1" x14ac:dyDescent="0.2">
      <c r="B66" s="30" t="s">
        <v>126</v>
      </c>
      <c r="C66" s="17"/>
      <c r="D66" s="17"/>
      <c r="E66" s="17"/>
      <c r="F66" s="17"/>
      <c r="G66" s="17"/>
      <c r="H66" s="17"/>
      <c r="I66" s="17"/>
      <c r="J66" s="17"/>
      <c r="K66" s="17"/>
      <c r="L66" s="17"/>
      <c r="M66" s="17"/>
      <c r="N66" s="17"/>
      <c r="O66" s="17"/>
    </row>
    <row r="67" spans="2:15" ht="15" customHeight="1" x14ac:dyDescent="0.2">
      <c r="B67" s="20" t="s">
        <v>127</v>
      </c>
      <c r="C67" s="35">
        <f t="shared" ref="C67:O67" si="8">C63+C64+C65+C66</f>
        <v>0</v>
      </c>
      <c r="D67" s="35">
        <f t="shared" si="8"/>
        <v>0</v>
      </c>
      <c r="E67" s="35">
        <f t="shared" si="8"/>
        <v>0</v>
      </c>
      <c r="F67" s="35">
        <f t="shared" si="8"/>
        <v>0</v>
      </c>
      <c r="G67" s="35">
        <f t="shared" si="8"/>
        <v>0</v>
      </c>
      <c r="H67" s="35">
        <f t="shared" si="8"/>
        <v>0</v>
      </c>
      <c r="I67" s="35">
        <f t="shared" si="8"/>
        <v>0</v>
      </c>
      <c r="J67" s="35">
        <f t="shared" si="8"/>
        <v>0</v>
      </c>
      <c r="K67" s="35">
        <f t="shared" si="8"/>
        <v>0</v>
      </c>
      <c r="L67" s="35">
        <f t="shared" si="8"/>
        <v>0</v>
      </c>
      <c r="M67" s="35">
        <f t="shared" si="8"/>
        <v>0</v>
      </c>
      <c r="N67" s="35">
        <f t="shared" si="8"/>
        <v>0</v>
      </c>
      <c r="O67" s="35">
        <f t="shared" si="8"/>
        <v>0</v>
      </c>
    </row>
    <row r="69" spans="2:15" ht="15" customHeight="1" x14ac:dyDescent="0.2">
      <c r="B69" s="28" t="s">
        <v>128</v>
      </c>
      <c r="C69" s="29"/>
      <c r="D69" s="29"/>
      <c r="E69" s="29"/>
      <c r="F69" s="29"/>
      <c r="G69" s="29"/>
      <c r="H69" s="29"/>
      <c r="I69" s="29"/>
      <c r="J69" s="29"/>
      <c r="K69" s="29"/>
      <c r="L69" s="29"/>
      <c r="M69" s="29"/>
      <c r="N69" s="29"/>
      <c r="O69" s="29"/>
    </row>
    <row r="70" spans="2:15" ht="15" customHeight="1" x14ac:dyDescent="0.2">
      <c r="B70" s="30" t="s">
        <v>129</v>
      </c>
      <c r="C70" s="17"/>
      <c r="D70" s="17"/>
      <c r="E70" s="17"/>
      <c r="F70" s="17"/>
      <c r="G70" s="17"/>
      <c r="H70" s="17"/>
      <c r="I70" s="17"/>
      <c r="J70" s="17"/>
      <c r="K70" s="17"/>
      <c r="L70" s="17"/>
      <c r="M70" s="17"/>
      <c r="N70" s="17"/>
      <c r="O70" s="17"/>
    </row>
    <row r="71" spans="2:15" ht="15" customHeight="1" x14ac:dyDescent="0.2">
      <c r="B71" s="33" t="s">
        <v>130</v>
      </c>
      <c r="C71" s="34">
        <f>C14*Supuestos!$C$15</f>
        <v>0</v>
      </c>
      <c r="D71" s="34">
        <f>D14*Supuestos!$C$15</f>
        <v>0</v>
      </c>
      <c r="E71" s="34">
        <f>E14*Supuestos!$C$15</f>
        <v>0</v>
      </c>
      <c r="F71" s="34">
        <f>F14*Supuestos!$C$15</f>
        <v>0</v>
      </c>
      <c r="G71" s="34">
        <f>G14*Supuestos!$C$15</f>
        <v>0</v>
      </c>
      <c r="H71" s="34">
        <f>H14*Supuestos!$C$15</f>
        <v>0</v>
      </c>
      <c r="I71" s="34">
        <f>I14*Supuestos!$C$15</f>
        <v>0</v>
      </c>
      <c r="J71" s="34">
        <f>J14*Supuestos!$C$15</f>
        <v>0</v>
      </c>
      <c r="K71" s="34">
        <f>K14*Supuestos!$C$15</f>
        <v>0</v>
      </c>
      <c r="L71" s="34">
        <f>L14*Supuestos!$C$15</f>
        <v>0</v>
      </c>
      <c r="M71" s="34">
        <f>M14*Supuestos!$C$15</f>
        <v>0</v>
      </c>
      <c r="N71" s="34">
        <f>N14*Supuestos!$C$15</f>
        <v>0</v>
      </c>
      <c r="O71" s="34">
        <f>O14*Supuestos!$C$15</f>
        <v>0</v>
      </c>
    </row>
    <row r="72" spans="2:15" ht="15" customHeight="1" x14ac:dyDescent="0.2">
      <c r="B72" s="30" t="s">
        <v>131</v>
      </c>
      <c r="C72" s="17"/>
      <c r="D72" s="17"/>
      <c r="E72" s="17"/>
      <c r="F72" s="17"/>
      <c r="G72" s="17"/>
      <c r="H72" s="17"/>
      <c r="I72" s="17"/>
      <c r="J72" s="17"/>
      <c r="K72" s="17"/>
      <c r="L72" s="17"/>
      <c r="M72" s="17"/>
      <c r="N72" s="17"/>
      <c r="O72" s="17"/>
    </row>
    <row r="73" spans="2:15" ht="15" customHeight="1" x14ac:dyDescent="0.2">
      <c r="B73" s="30" t="s">
        <v>132</v>
      </c>
      <c r="C73" s="17"/>
      <c r="D73" s="17"/>
      <c r="E73" s="17"/>
      <c r="F73" s="17"/>
      <c r="G73" s="17"/>
      <c r="H73" s="17"/>
      <c r="I73" s="17"/>
      <c r="J73" s="17"/>
      <c r="K73" s="17"/>
      <c r="L73" s="17"/>
      <c r="M73" s="17"/>
      <c r="N73" s="17"/>
      <c r="O73" s="17"/>
    </row>
    <row r="74" spans="2:15" ht="15" customHeight="1" x14ac:dyDescent="0.2">
      <c r="B74" s="30" t="s">
        <v>133</v>
      </c>
      <c r="C74" s="17"/>
      <c r="D74" s="17"/>
      <c r="E74" s="17"/>
      <c r="F74" s="17"/>
      <c r="G74" s="17"/>
      <c r="H74" s="17"/>
      <c r="I74" s="17"/>
      <c r="J74" s="17"/>
      <c r="K74" s="17"/>
      <c r="L74" s="17"/>
      <c r="M74" s="17"/>
      <c r="N74" s="17"/>
      <c r="O74" s="17"/>
    </row>
    <row r="75" spans="2:15" ht="15" customHeight="1" x14ac:dyDescent="0.2">
      <c r="B75" s="30" t="s">
        <v>134</v>
      </c>
      <c r="C75" s="17"/>
      <c r="D75" s="17"/>
      <c r="E75" s="17"/>
      <c r="F75" s="17"/>
      <c r="G75" s="17"/>
      <c r="H75" s="17"/>
      <c r="I75" s="17"/>
      <c r="J75" s="17"/>
      <c r="K75" s="17"/>
      <c r="L75" s="17"/>
      <c r="M75" s="17"/>
      <c r="N75" s="17"/>
      <c r="O75" s="17"/>
    </row>
    <row r="76" spans="2:15" ht="15" customHeight="1" x14ac:dyDescent="0.2">
      <c r="B76" s="33" t="s">
        <v>135</v>
      </c>
      <c r="C76" s="34"/>
      <c r="D76" s="34"/>
      <c r="E76" s="34"/>
      <c r="F76" s="34"/>
      <c r="G76" s="34"/>
      <c r="H76" s="34"/>
      <c r="I76" s="34"/>
      <c r="J76" s="34"/>
      <c r="K76" s="34"/>
      <c r="L76" s="34"/>
      <c r="M76" s="34"/>
      <c r="N76" s="34"/>
      <c r="O76" s="34"/>
    </row>
    <row r="77" spans="2:15" ht="15" customHeight="1" x14ac:dyDescent="0.2">
      <c r="B77" s="20" t="s">
        <v>136</v>
      </c>
      <c r="C77" s="35">
        <f t="shared" ref="C77:O77" si="9">C70+C71+C72+C73+C74+C75+C76</f>
        <v>0</v>
      </c>
      <c r="D77" s="35">
        <f t="shared" si="9"/>
        <v>0</v>
      </c>
      <c r="E77" s="35">
        <f t="shared" si="9"/>
        <v>0</v>
      </c>
      <c r="F77" s="35">
        <f t="shared" si="9"/>
        <v>0</v>
      </c>
      <c r="G77" s="35">
        <f t="shared" si="9"/>
        <v>0</v>
      </c>
      <c r="H77" s="35">
        <f t="shared" si="9"/>
        <v>0</v>
      </c>
      <c r="I77" s="35">
        <f t="shared" si="9"/>
        <v>0</v>
      </c>
      <c r="J77" s="35">
        <f t="shared" si="9"/>
        <v>0</v>
      </c>
      <c r="K77" s="35">
        <f t="shared" si="9"/>
        <v>0</v>
      </c>
      <c r="L77" s="35">
        <f t="shared" si="9"/>
        <v>0</v>
      </c>
      <c r="M77" s="35">
        <f t="shared" si="9"/>
        <v>0</v>
      </c>
      <c r="N77" s="35">
        <f t="shared" si="9"/>
        <v>0</v>
      </c>
      <c r="O77" s="35">
        <f t="shared" si="9"/>
        <v>0</v>
      </c>
    </row>
    <row r="79" spans="2:15" ht="15" customHeight="1" x14ac:dyDescent="0.2">
      <c r="B79" s="28" t="s">
        <v>137</v>
      </c>
      <c r="C79" s="29"/>
      <c r="D79" s="29"/>
      <c r="E79" s="29"/>
      <c r="F79" s="29"/>
      <c r="G79" s="29"/>
      <c r="H79" s="29"/>
      <c r="I79" s="29"/>
      <c r="J79" s="29"/>
      <c r="K79" s="29"/>
      <c r="L79" s="29"/>
      <c r="M79" s="29"/>
      <c r="N79" s="29"/>
      <c r="O79" s="29"/>
    </row>
    <row r="80" spans="2:15" ht="15" customHeight="1" x14ac:dyDescent="0.2">
      <c r="B80" s="30" t="s">
        <v>138</v>
      </c>
      <c r="C80" s="17"/>
      <c r="D80" s="17"/>
      <c r="E80" s="17"/>
      <c r="F80" s="17"/>
      <c r="G80" s="17"/>
      <c r="H80" s="17"/>
      <c r="I80" s="17"/>
      <c r="J80" s="17"/>
      <c r="K80" s="17"/>
      <c r="L80" s="17"/>
      <c r="M80" s="17"/>
      <c r="N80" s="17"/>
      <c r="O80" s="17"/>
    </row>
    <row r="81" spans="2:15" ht="15" customHeight="1" x14ac:dyDescent="0.2">
      <c r="B81" s="30" t="s">
        <v>139</v>
      </c>
      <c r="C81" s="17"/>
      <c r="D81" s="17"/>
      <c r="E81" s="17"/>
      <c r="F81" s="17"/>
      <c r="G81" s="17"/>
      <c r="H81" s="17"/>
      <c r="I81" s="17"/>
      <c r="J81" s="17"/>
      <c r="K81" s="17"/>
      <c r="L81" s="17"/>
      <c r="M81" s="17"/>
      <c r="N81" s="17"/>
      <c r="O81" s="17"/>
    </row>
    <row r="82" spans="2:15" ht="15" customHeight="1" x14ac:dyDescent="0.2">
      <c r="B82" s="30" t="s">
        <v>140</v>
      </c>
      <c r="C82" s="17"/>
      <c r="D82" s="17"/>
      <c r="E82" s="17"/>
      <c r="F82" s="17"/>
      <c r="G82" s="17"/>
      <c r="H82" s="17"/>
      <c r="I82" s="17"/>
      <c r="J82" s="17"/>
      <c r="K82" s="17"/>
      <c r="L82" s="17"/>
      <c r="M82" s="17"/>
      <c r="N82" s="17"/>
      <c r="O82" s="17"/>
    </row>
    <row r="83" spans="2:15" ht="15" customHeight="1" x14ac:dyDescent="0.2">
      <c r="B83" s="30" t="s">
        <v>141</v>
      </c>
      <c r="C83" s="17"/>
      <c r="D83" s="17"/>
      <c r="E83" s="17"/>
      <c r="F83" s="17"/>
      <c r="G83" s="17"/>
      <c r="H83" s="17"/>
      <c r="I83" s="17"/>
      <c r="J83" s="17"/>
      <c r="K83" s="17"/>
      <c r="L83" s="17"/>
      <c r="M83" s="17"/>
      <c r="N83" s="17"/>
      <c r="O83" s="17"/>
    </row>
    <row r="84" spans="2:15" ht="15" customHeight="1" x14ac:dyDescent="0.2">
      <c r="B84" s="20" t="s">
        <v>142</v>
      </c>
      <c r="C84" s="35">
        <f t="shared" ref="C84:O84" si="10">C80+C81+C82+C83</f>
        <v>0</v>
      </c>
      <c r="D84" s="35">
        <f t="shared" si="10"/>
        <v>0</v>
      </c>
      <c r="E84" s="35">
        <f t="shared" si="10"/>
        <v>0</v>
      </c>
      <c r="F84" s="35">
        <f t="shared" si="10"/>
        <v>0</v>
      </c>
      <c r="G84" s="35">
        <f t="shared" si="10"/>
        <v>0</v>
      </c>
      <c r="H84" s="35">
        <f t="shared" si="10"/>
        <v>0</v>
      </c>
      <c r="I84" s="35">
        <f t="shared" si="10"/>
        <v>0</v>
      </c>
      <c r="J84" s="35">
        <f t="shared" si="10"/>
        <v>0</v>
      </c>
      <c r="K84" s="35">
        <f t="shared" si="10"/>
        <v>0</v>
      </c>
      <c r="L84" s="35">
        <f t="shared" si="10"/>
        <v>0</v>
      </c>
      <c r="M84" s="35">
        <f t="shared" si="10"/>
        <v>0</v>
      </c>
      <c r="N84" s="35">
        <f t="shared" si="10"/>
        <v>0</v>
      </c>
      <c r="O84" s="35">
        <f t="shared" si="10"/>
        <v>0</v>
      </c>
    </row>
    <row r="86" spans="2:15" ht="15" customHeight="1" x14ac:dyDescent="0.2">
      <c r="B86" s="28" t="s">
        <v>143</v>
      </c>
      <c r="C86" s="29"/>
      <c r="D86" s="29"/>
      <c r="E86" s="29"/>
      <c r="F86" s="29"/>
      <c r="G86" s="29"/>
      <c r="H86" s="29"/>
      <c r="I86" s="29"/>
      <c r="J86" s="29"/>
      <c r="K86" s="29"/>
      <c r="L86" s="29"/>
      <c r="M86" s="29"/>
      <c r="N86" s="29"/>
      <c r="O86" s="29"/>
    </row>
    <row r="87" spans="2:15" ht="15" customHeight="1" x14ac:dyDescent="0.2">
      <c r="B87" s="30" t="s">
        <v>144</v>
      </c>
      <c r="C87" s="17"/>
      <c r="D87" s="17"/>
      <c r="E87" s="17"/>
      <c r="F87" s="17"/>
      <c r="G87" s="17"/>
      <c r="H87" s="17"/>
      <c r="I87" s="17"/>
      <c r="J87" s="17"/>
      <c r="K87" s="17"/>
      <c r="L87" s="17"/>
      <c r="M87" s="17"/>
      <c r="N87" s="17"/>
      <c r="O87" s="17"/>
    </row>
    <row r="88" spans="2:15" ht="15" customHeight="1" x14ac:dyDescent="0.2">
      <c r="B88" s="30" t="s">
        <v>145</v>
      </c>
      <c r="C88" s="17"/>
      <c r="D88" s="17"/>
      <c r="E88" s="17"/>
      <c r="F88" s="17"/>
      <c r="G88" s="17"/>
      <c r="H88" s="17"/>
      <c r="I88" s="17"/>
      <c r="J88" s="17"/>
      <c r="K88" s="17"/>
      <c r="L88" s="17"/>
      <c r="M88" s="17"/>
      <c r="N88" s="17"/>
      <c r="O88" s="17"/>
    </row>
    <row r="89" spans="2:15" ht="15" customHeight="1" x14ac:dyDescent="0.2">
      <c r="B89" s="30" t="s">
        <v>146</v>
      </c>
      <c r="C89" s="17"/>
      <c r="D89" s="17"/>
      <c r="E89" s="17"/>
      <c r="F89" s="17"/>
      <c r="G89" s="17"/>
      <c r="H89" s="17"/>
      <c r="I89" s="17"/>
      <c r="J89" s="17"/>
      <c r="K89" s="17"/>
      <c r="L89" s="17"/>
      <c r="M89" s="17"/>
      <c r="N89" s="17"/>
      <c r="O89" s="17"/>
    </row>
    <row r="90" spans="2:15" ht="15" customHeight="1" x14ac:dyDescent="0.2">
      <c r="B90" s="30" t="s">
        <v>147</v>
      </c>
      <c r="C90" s="17"/>
      <c r="D90" s="17"/>
      <c r="E90" s="17"/>
      <c r="F90" s="17"/>
      <c r="G90" s="17"/>
      <c r="H90" s="17"/>
      <c r="I90" s="17"/>
      <c r="J90" s="17"/>
      <c r="K90" s="17"/>
      <c r="L90" s="17"/>
      <c r="M90" s="17"/>
      <c r="N90" s="17"/>
      <c r="O90" s="17"/>
    </row>
    <row r="91" spans="2:15" ht="15" customHeight="1" x14ac:dyDescent="0.2">
      <c r="B91" s="20" t="s">
        <v>148</v>
      </c>
      <c r="C91" s="35">
        <f t="shared" ref="C91:O91" si="11">C87+C88+C89+C90</f>
        <v>0</v>
      </c>
      <c r="D91" s="35">
        <f t="shared" si="11"/>
        <v>0</v>
      </c>
      <c r="E91" s="35">
        <f t="shared" si="11"/>
        <v>0</v>
      </c>
      <c r="F91" s="35">
        <f t="shared" si="11"/>
        <v>0</v>
      </c>
      <c r="G91" s="35">
        <f t="shared" si="11"/>
        <v>0</v>
      </c>
      <c r="H91" s="35">
        <f t="shared" si="11"/>
        <v>0</v>
      </c>
      <c r="I91" s="35">
        <f t="shared" si="11"/>
        <v>0</v>
      </c>
      <c r="J91" s="35">
        <f t="shared" si="11"/>
        <v>0</v>
      </c>
      <c r="K91" s="35">
        <f t="shared" si="11"/>
        <v>0</v>
      </c>
      <c r="L91" s="35">
        <f t="shared" si="11"/>
        <v>0</v>
      </c>
      <c r="M91" s="35">
        <f t="shared" si="11"/>
        <v>0</v>
      </c>
      <c r="N91" s="35">
        <f t="shared" si="11"/>
        <v>0</v>
      </c>
      <c r="O91" s="35">
        <f t="shared" si="11"/>
        <v>0</v>
      </c>
    </row>
    <row r="93" spans="2:15" ht="15" customHeight="1" x14ac:dyDescent="0.2">
      <c r="B93" s="23" t="s">
        <v>149</v>
      </c>
      <c r="C93" s="25">
        <f t="shared" ref="C93:O93" si="12">C47+C60+C67+C77+C84+C91</f>
        <v>53148200</v>
      </c>
      <c r="D93" s="25">
        <f t="shared" si="12"/>
        <v>53148200</v>
      </c>
      <c r="E93" s="25">
        <f t="shared" si="12"/>
        <v>53148200</v>
      </c>
      <c r="F93" s="25">
        <f t="shared" si="12"/>
        <v>53148200</v>
      </c>
      <c r="G93" s="25">
        <f t="shared" si="12"/>
        <v>53148200</v>
      </c>
      <c r="H93" s="25">
        <f t="shared" si="12"/>
        <v>53148200</v>
      </c>
      <c r="I93" s="25">
        <f t="shared" si="12"/>
        <v>53148200</v>
      </c>
      <c r="J93" s="25">
        <f t="shared" si="12"/>
        <v>53148200</v>
      </c>
      <c r="K93" s="25">
        <f t="shared" si="12"/>
        <v>53148200</v>
      </c>
      <c r="L93" s="25">
        <f t="shared" si="12"/>
        <v>53148200</v>
      </c>
      <c r="M93" s="25">
        <f t="shared" si="12"/>
        <v>53148200</v>
      </c>
      <c r="N93" s="25">
        <f t="shared" si="12"/>
        <v>53148200</v>
      </c>
      <c r="O93" s="25">
        <f t="shared" si="12"/>
        <v>53148200</v>
      </c>
    </row>
    <row r="95" spans="2:15" ht="15" customHeight="1" x14ac:dyDescent="0.2">
      <c r="B95" s="23" t="s">
        <v>150</v>
      </c>
      <c r="C95" s="25">
        <f t="shared" ref="C95:O95" si="13">C28-C93</f>
        <v>-53148200</v>
      </c>
      <c r="D95" s="25">
        <f t="shared" si="13"/>
        <v>-53148200</v>
      </c>
      <c r="E95" s="25">
        <f t="shared" si="13"/>
        <v>-53148200</v>
      </c>
      <c r="F95" s="25">
        <f t="shared" si="13"/>
        <v>-53148200</v>
      </c>
      <c r="G95" s="25">
        <f t="shared" si="13"/>
        <v>-53148200</v>
      </c>
      <c r="H95" s="25">
        <f t="shared" si="13"/>
        <v>-53148200</v>
      </c>
      <c r="I95" s="25">
        <f t="shared" si="13"/>
        <v>-53148200</v>
      </c>
      <c r="J95" s="25">
        <f t="shared" si="13"/>
        <v>-53148200</v>
      </c>
      <c r="K95" s="25">
        <f t="shared" si="13"/>
        <v>-53148200</v>
      </c>
      <c r="L95" s="25">
        <f t="shared" si="13"/>
        <v>-53148200</v>
      </c>
      <c r="M95" s="25">
        <f t="shared" si="13"/>
        <v>-53148200</v>
      </c>
      <c r="N95" s="25">
        <f t="shared" si="13"/>
        <v>-53148200</v>
      </c>
      <c r="O95" s="25">
        <f t="shared" si="13"/>
        <v>-53148200</v>
      </c>
    </row>
    <row r="96" spans="2:15" ht="15" customHeight="1" x14ac:dyDescent="0.2">
      <c r="B96" s="23" t="s">
        <v>151</v>
      </c>
      <c r="C96" s="25">
        <f t="shared" ref="C96:N96" si="14">C6+C95</f>
        <v>-3148200</v>
      </c>
      <c r="D96" s="25">
        <f t="shared" si="14"/>
        <v>-56296400</v>
      </c>
      <c r="E96" s="25">
        <f t="shared" si="14"/>
        <v>-109444600</v>
      </c>
      <c r="F96" s="25">
        <f t="shared" si="14"/>
        <v>-162592800</v>
      </c>
      <c r="G96" s="25">
        <f t="shared" si="14"/>
        <v>-215741000</v>
      </c>
      <c r="H96" s="25">
        <f t="shared" si="14"/>
        <v>-268889200</v>
      </c>
      <c r="I96" s="25">
        <f t="shared" si="14"/>
        <v>-322037400</v>
      </c>
      <c r="J96" s="25">
        <f t="shared" si="14"/>
        <v>-375185600</v>
      </c>
      <c r="K96" s="25">
        <f t="shared" si="14"/>
        <v>-428333800</v>
      </c>
      <c r="L96" s="25">
        <f t="shared" si="14"/>
        <v>-481482000</v>
      </c>
      <c r="M96" s="25">
        <f t="shared" si="14"/>
        <v>-534630200</v>
      </c>
      <c r="N96" s="25">
        <f t="shared" si="14"/>
        <v>-587778400</v>
      </c>
      <c r="O96" s="25">
        <f>N96</f>
        <v>-587778400</v>
      </c>
    </row>
    <row r="98" spans="2:15" ht="15" customHeight="1" x14ac:dyDescent="0.2">
      <c r="B98" s="9" t="s">
        <v>152</v>
      </c>
      <c r="C98" s="9"/>
      <c r="D98" s="9"/>
      <c r="E98" s="9"/>
      <c r="F98" s="9"/>
      <c r="G98" s="9"/>
      <c r="H98" s="9"/>
      <c r="I98" s="9"/>
      <c r="J98" s="9"/>
      <c r="K98" s="9"/>
      <c r="L98" s="9"/>
      <c r="M98" s="9"/>
      <c r="N98" s="9"/>
      <c r="O98" s="9"/>
    </row>
    <row r="99" spans="2:15" ht="15" customHeight="1" x14ac:dyDescent="0.2">
      <c r="B99" s="8" t="s">
        <v>153</v>
      </c>
      <c r="C99" s="8"/>
      <c r="D99" s="8"/>
      <c r="E99" s="8"/>
      <c r="F99" s="8"/>
      <c r="G99" s="8"/>
      <c r="H99" s="8"/>
      <c r="I99" s="8"/>
      <c r="J99" s="8"/>
      <c r="K99" s="8"/>
      <c r="L99" s="8"/>
      <c r="M99" s="8"/>
      <c r="N99" s="8"/>
      <c r="O99" s="8"/>
    </row>
  </sheetData>
  <mergeCells count="4">
    <mergeCell ref="B2:O2"/>
    <mergeCell ref="B3:O3"/>
    <mergeCell ref="B98:O98"/>
    <mergeCell ref="B99:O99"/>
  </mergeCells>
  <hyperlinks>
    <hyperlink ref="B4" location="'Supuestos'!A1" display="→ Supuestos" xr:uid="{00000000-0004-0000-0100-000000000000}"/>
    <hyperlink ref="C4" location="'Dashboard'!A1" display="→ Dashboard" xr:uid="{00000000-0004-0000-0100-000001000000}"/>
    <hyperlink ref="D4" location="'Calendario Tributario'!A1" display="→ Calendario Tributario" xr:uid="{00000000-0004-0000-0100-000002000000}"/>
    <hyperlink ref="E4" location="'Control de Cartera'!A1" display="→ Control de Cartera" xr:uid="{00000000-0004-0000-0100-000003000000}"/>
  </hyperlink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01696F"/>
  </sheetPr>
  <dimension ref="B2:F21"/>
  <sheetViews>
    <sheetView zoomScaleNormal="100" workbookViewId="0"/>
  </sheetViews>
  <sheetFormatPr baseColWidth="10" defaultColWidth="8.6640625" defaultRowHeight="15" customHeight="1" x14ac:dyDescent="0.2"/>
  <cols>
    <col min="1" max="1" width="3" customWidth="1"/>
    <col min="2" max="2" width="28" customWidth="1"/>
    <col min="3" max="6" width="20" customWidth="1"/>
  </cols>
  <sheetData>
    <row r="2" spans="2:6" ht="30" customHeight="1" x14ac:dyDescent="0.2">
      <c r="B2" s="12" t="s">
        <v>154</v>
      </c>
      <c r="C2" s="12"/>
      <c r="D2" s="12"/>
      <c r="E2" s="12"/>
      <c r="F2" s="12"/>
    </row>
    <row r="3" spans="2:6" ht="15" customHeight="1" x14ac:dyDescent="0.2">
      <c r="B3" s="11" t="s">
        <v>155</v>
      </c>
      <c r="C3" s="11"/>
      <c r="D3" s="11"/>
      <c r="E3" s="11"/>
      <c r="F3" s="11"/>
    </row>
    <row r="4" spans="2:6" ht="15" customHeight="1" x14ac:dyDescent="0.2">
      <c r="B4" s="13" t="s">
        <v>57</v>
      </c>
      <c r="C4" s="13" t="s">
        <v>2</v>
      </c>
      <c r="D4" s="13" t="s">
        <v>4</v>
      </c>
      <c r="E4" s="13" t="s">
        <v>5</v>
      </c>
    </row>
    <row r="5" spans="2:6" ht="15" customHeight="1" x14ac:dyDescent="0.2">
      <c r="B5" s="15" t="s">
        <v>156</v>
      </c>
      <c r="C5" s="15" t="s">
        <v>157</v>
      </c>
      <c r="D5" s="15" t="s">
        <v>158</v>
      </c>
      <c r="E5" s="15" t="s">
        <v>159</v>
      </c>
      <c r="F5" s="15" t="s">
        <v>160</v>
      </c>
    </row>
    <row r="6" spans="2:6" ht="34.5" customHeight="1" x14ac:dyDescent="0.2">
      <c r="B6" s="36">
        <f>'Flujo de Caja'!C6</f>
        <v>50000000</v>
      </c>
      <c r="C6" s="36">
        <f>'Flujo de Caja'!O28</f>
        <v>0</v>
      </c>
      <c r="D6" s="36">
        <f>'Flujo de Caja'!O93</f>
        <v>53148200</v>
      </c>
      <c r="E6" s="36">
        <f>'Flujo de Caja'!O95</f>
        <v>-53148200</v>
      </c>
      <c r="F6" s="36">
        <f>'Flujo de Caja'!O96</f>
        <v>-587778400</v>
      </c>
    </row>
    <row r="8" spans="2:6" ht="15" customHeight="1" x14ac:dyDescent="0.2">
      <c r="B8" s="14" t="s">
        <v>161</v>
      </c>
      <c r="C8" s="27"/>
      <c r="D8" s="27"/>
      <c r="E8" s="27"/>
      <c r="F8" s="27"/>
    </row>
    <row r="9" spans="2:6" ht="15" customHeight="1" x14ac:dyDescent="0.2">
      <c r="B9" s="15" t="s">
        <v>162</v>
      </c>
      <c r="C9" s="15" t="s">
        <v>163</v>
      </c>
      <c r="D9" s="15" t="s">
        <v>164</v>
      </c>
      <c r="E9" s="15" t="s">
        <v>165</v>
      </c>
      <c r="F9" s="15" t="s">
        <v>166</v>
      </c>
    </row>
    <row r="10" spans="2:6" ht="15" customHeight="1" x14ac:dyDescent="0.2">
      <c r="B10" s="37" t="s">
        <v>59</v>
      </c>
      <c r="C10" s="34">
        <f>'Flujo de Caja'!C28</f>
        <v>0</v>
      </c>
      <c r="D10" s="34">
        <f>'Flujo de Caja'!C93</f>
        <v>53148200</v>
      </c>
      <c r="E10" s="34">
        <f>'Flujo de Caja'!C95</f>
        <v>-53148200</v>
      </c>
      <c r="F10" s="34">
        <f>'Flujo de Caja'!C96</f>
        <v>-3148200</v>
      </c>
    </row>
    <row r="11" spans="2:6" ht="15" customHeight="1" x14ac:dyDescent="0.2">
      <c r="B11" s="37" t="s">
        <v>60</v>
      </c>
      <c r="C11" s="34">
        <f>'Flujo de Caja'!D28</f>
        <v>0</v>
      </c>
      <c r="D11" s="34">
        <f>'Flujo de Caja'!D93</f>
        <v>53148200</v>
      </c>
      <c r="E11" s="34">
        <f>'Flujo de Caja'!D95</f>
        <v>-53148200</v>
      </c>
      <c r="F11" s="34">
        <f>'Flujo de Caja'!D96</f>
        <v>-56296400</v>
      </c>
    </row>
    <row r="12" spans="2:6" ht="15" customHeight="1" x14ac:dyDescent="0.2">
      <c r="B12" s="37" t="s">
        <v>61</v>
      </c>
      <c r="C12" s="34">
        <f>'Flujo de Caja'!E28</f>
        <v>0</v>
      </c>
      <c r="D12" s="34">
        <f>'Flujo de Caja'!E93</f>
        <v>53148200</v>
      </c>
      <c r="E12" s="34">
        <f>'Flujo de Caja'!E95</f>
        <v>-53148200</v>
      </c>
      <c r="F12" s="34">
        <f>'Flujo de Caja'!E96</f>
        <v>-109444600</v>
      </c>
    </row>
    <row r="13" spans="2:6" ht="15" customHeight="1" x14ac:dyDescent="0.2">
      <c r="B13" s="37" t="s">
        <v>62</v>
      </c>
      <c r="C13" s="34">
        <f>'Flujo de Caja'!F28</f>
        <v>0</v>
      </c>
      <c r="D13" s="34">
        <f>'Flujo de Caja'!F93</f>
        <v>53148200</v>
      </c>
      <c r="E13" s="34">
        <f>'Flujo de Caja'!F95</f>
        <v>-53148200</v>
      </c>
      <c r="F13" s="34">
        <f>'Flujo de Caja'!F96</f>
        <v>-162592800</v>
      </c>
    </row>
    <row r="14" spans="2:6" ht="15" customHeight="1" x14ac:dyDescent="0.2">
      <c r="B14" s="37" t="s">
        <v>63</v>
      </c>
      <c r="C14" s="34">
        <f>'Flujo de Caja'!G28</f>
        <v>0</v>
      </c>
      <c r="D14" s="34">
        <f>'Flujo de Caja'!G93</f>
        <v>53148200</v>
      </c>
      <c r="E14" s="34">
        <f>'Flujo de Caja'!G95</f>
        <v>-53148200</v>
      </c>
      <c r="F14" s="34">
        <f>'Flujo de Caja'!G96</f>
        <v>-215741000</v>
      </c>
    </row>
    <row r="15" spans="2:6" ht="15" customHeight="1" x14ac:dyDescent="0.2">
      <c r="B15" s="37" t="s">
        <v>64</v>
      </c>
      <c r="C15" s="34">
        <f>'Flujo de Caja'!H28</f>
        <v>0</v>
      </c>
      <c r="D15" s="34">
        <f>'Flujo de Caja'!H93</f>
        <v>53148200</v>
      </c>
      <c r="E15" s="34">
        <f>'Flujo de Caja'!H95</f>
        <v>-53148200</v>
      </c>
      <c r="F15" s="34">
        <f>'Flujo de Caja'!H96</f>
        <v>-268889200</v>
      </c>
    </row>
    <row r="16" spans="2:6" ht="15" customHeight="1" x14ac:dyDescent="0.2">
      <c r="B16" s="37" t="s">
        <v>65</v>
      </c>
      <c r="C16" s="34">
        <f>'Flujo de Caja'!I28</f>
        <v>0</v>
      </c>
      <c r="D16" s="34">
        <f>'Flujo de Caja'!I93</f>
        <v>53148200</v>
      </c>
      <c r="E16" s="34">
        <f>'Flujo de Caja'!I95</f>
        <v>-53148200</v>
      </c>
      <c r="F16" s="34">
        <f>'Flujo de Caja'!I96</f>
        <v>-322037400</v>
      </c>
    </row>
    <row r="17" spans="2:6" ht="15" customHeight="1" x14ac:dyDescent="0.2">
      <c r="B17" s="37" t="s">
        <v>66</v>
      </c>
      <c r="C17" s="34">
        <f>'Flujo de Caja'!J28</f>
        <v>0</v>
      </c>
      <c r="D17" s="34">
        <f>'Flujo de Caja'!J93</f>
        <v>53148200</v>
      </c>
      <c r="E17" s="34">
        <f>'Flujo de Caja'!J95</f>
        <v>-53148200</v>
      </c>
      <c r="F17" s="34">
        <f>'Flujo de Caja'!J96</f>
        <v>-375185600</v>
      </c>
    </row>
    <row r="18" spans="2:6" ht="15" customHeight="1" x14ac:dyDescent="0.2">
      <c r="B18" s="37" t="s">
        <v>67</v>
      </c>
      <c r="C18" s="34">
        <f>'Flujo de Caja'!K28</f>
        <v>0</v>
      </c>
      <c r="D18" s="34">
        <f>'Flujo de Caja'!K93</f>
        <v>53148200</v>
      </c>
      <c r="E18" s="34">
        <f>'Flujo de Caja'!K95</f>
        <v>-53148200</v>
      </c>
      <c r="F18" s="34">
        <f>'Flujo de Caja'!K96</f>
        <v>-428333800</v>
      </c>
    </row>
    <row r="19" spans="2:6" ht="15" customHeight="1" x14ac:dyDescent="0.2">
      <c r="B19" s="37" t="s">
        <v>68</v>
      </c>
      <c r="C19" s="34">
        <f>'Flujo de Caja'!L28</f>
        <v>0</v>
      </c>
      <c r="D19" s="34">
        <f>'Flujo de Caja'!L93</f>
        <v>53148200</v>
      </c>
      <c r="E19" s="34">
        <f>'Flujo de Caja'!L95</f>
        <v>-53148200</v>
      </c>
      <c r="F19" s="34">
        <f>'Flujo de Caja'!L96</f>
        <v>-481482000</v>
      </c>
    </row>
    <row r="20" spans="2:6" ht="15" customHeight="1" x14ac:dyDescent="0.2">
      <c r="B20" s="37" t="s">
        <v>69</v>
      </c>
      <c r="C20" s="34">
        <f>'Flujo de Caja'!M28</f>
        <v>0</v>
      </c>
      <c r="D20" s="34">
        <f>'Flujo de Caja'!M93</f>
        <v>53148200</v>
      </c>
      <c r="E20" s="34">
        <f>'Flujo de Caja'!M95</f>
        <v>-53148200</v>
      </c>
      <c r="F20" s="34">
        <f>'Flujo de Caja'!M96</f>
        <v>-534630200</v>
      </c>
    </row>
    <row r="21" spans="2:6" ht="15" customHeight="1" x14ac:dyDescent="0.2">
      <c r="B21" s="37" t="s">
        <v>70</v>
      </c>
      <c r="C21" s="34">
        <f>'Flujo de Caja'!N28</f>
        <v>0</v>
      </c>
      <c r="D21" s="34">
        <f>'Flujo de Caja'!N93</f>
        <v>53148200</v>
      </c>
      <c r="E21" s="34">
        <f>'Flujo de Caja'!N95</f>
        <v>-53148200</v>
      </c>
      <c r="F21" s="34">
        <f>'Flujo de Caja'!N96</f>
        <v>-587778400</v>
      </c>
    </row>
  </sheetData>
  <mergeCells count="2">
    <mergeCell ref="B2:F2"/>
    <mergeCell ref="B3:F3"/>
  </mergeCells>
  <hyperlinks>
    <hyperlink ref="B4" location="'Supuestos'!A1" display="→ Supuestos" xr:uid="{00000000-0004-0000-0200-000000000000}"/>
    <hyperlink ref="C4" location="'Flujo de Caja'!A1" display="→ Flujo de Caja" xr:uid="{00000000-0004-0000-0200-000001000000}"/>
    <hyperlink ref="D4" location="'Calendario Tributario'!A1" display="→ Calendario Tributario" xr:uid="{00000000-0004-0000-0200-000002000000}"/>
    <hyperlink ref="E4" location="'Control de Cartera'!A1" display="→ Control de Cartera" xr:uid="{00000000-0004-0000-0200-000003000000}"/>
  </hyperlinks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01696F"/>
  </sheetPr>
  <dimension ref="B2:I37"/>
  <sheetViews>
    <sheetView tabSelected="1" zoomScaleNormal="100" workbookViewId="0">
      <pane xSplit="1" ySplit="11" topLeftCell="B12" activePane="bottomRight" state="frozen"/>
      <selection pane="topRight" activeCell="B1" sqref="B1"/>
      <selection pane="bottomLeft" activeCell="A12" sqref="A12"/>
      <selection pane="bottomRight" activeCell="H7" sqref="H7"/>
    </sheetView>
  </sheetViews>
  <sheetFormatPr baseColWidth="10" defaultColWidth="8.6640625" defaultRowHeight="15" customHeight="1" x14ac:dyDescent="0.2"/>
  <cols>
    <col min="1" max="1" width="3" customWidth="1"/>
    <col min="2" max="2" width="10" customWidth="1"/>
    <col min="3" max="3" width="38" customWidth="1"/>
    <col min="4" max="4" width="22" customWidth="1"/>
    <col min="5" max="5" width="16" customWidth="1"/>
    <col min="6" max="6" width="14" customWidth="1"/>
    <col min="7" max="7" width="16" customWidth="1"/>
    <col min="8" max="8" width="18" customWidth="1"/>
    <col min="9" max="9" width="35" customWidth="1"/>
  </cols>
  <sheetData>
    <row r="2" spans="2:9" ht="30" customHeight="1" x14ac:dyDescent="0.2">
      <c r="B2" s="12" t="s">
        <v>167</v>
      </c>
      <c r="C2" s="12"/>
      <c r="D2" s="12"/>
      <c r="E2" s="12"/>
      <c r="F2" s="12"/>
      <c r="G2" s="12"/>
      <c r="H2" s="12"/>
      <c r="I2" s="12"/>
    </row>
    <row r="3" spans="2:9" ht="18" customHeight="1" x14ac:dyDescent="0.2">
      <c r="B3" s="7" t="s">
        <v>168</v>
      </c>
      <c r="C3" s="7"/>
      <c r="D3" s="7"/>
      <c r="E3" s="7"/>
      <c r="F3" s="7"/>
      <c r="G3" s="7"/>
      <c r="H3" s="7"/>
      <c r="I3" s="7"/>
    </row>
    <row r="4" spans="2:9" x14ac:dyDescent="0.2">
      <c r="B4" s="13" t="s">
        <v>2</v>
      </c>
      <c r="C4" s="13" t="s">
        <v>57</v>
      </c>
      <c r="D4" s="13" t="s">
        <v>3</v>
      </c>
      <c r="E4" s="13" t="s">
        <v>169</v>
      </c>
    </row>
    <row r="5" spans="2:9" ht="19.5" customHeight="1" x14ac:dyDescent="0.2">
      <c r="B5" s="6" t="s">
        <v>170</v>
      </c>
      <c r="C5" s="6"/>
      <c r="D5" s="6"/>
      <c r="E5" s="6"/>
      <c r="F5" s="6"/>
      <c r="G5" s="6"/>
      <c r="H5" s="6"/>
      <c r="I5" s="6"/>
    </row>
    <row r="6" spans="2:9" ht="15" customHeight="1" x14ac:dyDescent="0.2">
      <c r="B6" s="38" t="s">
        <v>171</v>
      </c>
      <c r="C6" s="39">
        <v>0</v>
      </c>
      <c r="D6" s="5" t="s">
        <v>172</v>
      </c>
      <c r="E6" s="5"/>
      <c r="F6" s="5"/>
      <c r="G6" s="5"/>
      <c r="H6" s="5"/>
      <c r="I6" s="5"/>
    </row>
    <row r="8" spans="2:9" x14ac:dyDescent="0.2">
      <c r="B8" s="4" t="s">
        <v>173</v>
      </c>
      <c r="C8" s="4"/>
      <c r="D8" s="27"/>
      <c r="E8" s="27"/>
      <c r="F8" s="27"/>
      <c r="G8" s="27"/>
      <c r="H8" s="27"/>
      <c r="I8" s="27"/>
    </row>
    <row r="9" spans="2:9" x14ac:dyDescent="0.2">
      <c r="B9" s="3" t="s">
        <v>174</v>
      </c>
      <c r="C9" s="3"/>
      <c r="D9" s="2" t="s">
        <v>175</v>
      </c>
      <c r="E9" s="2"/>
      <c r="F9" s="1" t="s">
        <v>176</v>
      </c>
      <c r="G9" s="1"/>
      <c r="H9" s="76" t="s">
        <v>177</v>
      </c>
      <c r="I9" s="76"/>
    </row>
    <row r="11" spans="2:9" ht="21.75" customHeight="1" x14ac:dyDescent="0.2">
      <c r="B11" s="40" t="s">
        <v>162</v>
      </c>
      <c r="C11" s="40" t="s">
        <v>178</v>
      </c>
      <c r="D11" s="40" t="s">
        <v>179</v>
      </c>
      <c r="E11" s="40" t="s">
        <v>180</v>
      </c>
      <c r="F11" s="40" t="s">
        <v>181</v>
      </c>
      <c r="G11" s="40" t="s">
        <v>182</v>
      </c>
      <c r="H11" s="40" t="s">
        <v>183</v>
      </c>
      <c r="I11" s="40" t="s">
        <v>184</v>
      </c>
    </row>
    <row r="12" spans="2:9" ht="18" customHeight="1" x14ac:dyDescent="0.2">
      <c r="B12" s="41" t="s">
        <v>185</v>
      </c>
      <c r="C12" s="42" t="s">
        <v>186</v>
      </c>
      <c r="D12" s="42" t="s">
        <v>187</v>
      </c>
      <c r="E12" s="41" t="str">
        <f>IFERROR(CHOOSE(IF(C6=0,10,C6),"10-feb-26","11-feb-26","12-feb-26","13-feb-26","16-feb-26","17-feb-26","18-feb-26","19-feb-26","20-feb-26","23-feb-26"),"10-feb-26")</f>
        <v>23-feb-26</v>
      </c>
      <c r="F12" s="41" t="str">
        <f t="shared" ref="F12:F32" ca="1" si="0">IF(G12="PAGADO","PAGADO",IF(ISNUMBER(DATEVALUE(E12)),IF(TODAY()&gt;DATEVALUE(E12),"VENCIDO",IF(TODAY()&gt;=DATEVALUE(E12)-7,"PRÓXIMO (≤7 días)","AL DÍA")),"AL DÍA"))</f>
        <v>VENCIDO</v>
      </c>
      <c r="G12" s="43"/>
      <c r="H12" s="17"/>
      <c r="I12" s="44" t="s">
        <v>188</v>
      </c>
    </row>
    <row r="13" spans="2:9" ht="18" customHeight="1" x14ac:dyDescent="0.2">
      <c r="B13" s="41" t="s">
        <v>189</v>
      </c>
      <c r="C13" s="42" t="s">
        <v>186</v>
      </c>
      <c r="D13" s="42" t="s">
        <v>190</v>
      </c>
      <c r="E13" s="41" t="str">
        <f>IFERROR(CHOOSE(IF(C6=0,10,C6),"10-mar-26","11-mar-26","12-mar-26","13-mar-26","16-mar-26","17-mar-26","18-mar-26","19-mar-26","20-mar-26","24-mar-26"),"10-mar-26")</f>
        <v>24-mar-26</v>
      </c>
      <c r="F13" s="41" t="str">
        <f t="shared" ca="1" si="0"/>
        <v>VENCIDO</v>
      </c>
      <c r="G13" s="43"/>
      <c r="H13" s="17"/>
      <c r="I13" s="44" t="s">
        <v>188</v>
      </c>
    </row>
    <row r="14" spans="2:9" ht="18" customHeight="1" x14ac:dyDescent="0.2">
      <c r="B14" s="45" t="s">
        <v>189</v>
      </c>
      <c r="C14" s="46" t="s">
        <v>191</v>
      </c>
      <c r="D14" s="46" t="s">
        <v>192</v>
      </c>
      <c r="E14" s="45" t="s">
        <v>193</v>
      </c>
      <c r="F14" s="45" t="str">
        <f t="shared" ca="1" si="0"/>
        <v>VENCIDO</v>
      </c>
      <c r="G14" s="43"/>
      <c r="H14" s="17"/>
      <c r="I14" s="47" t="s">
        <v>194</v>
      </c>
    </row>
    <row r="15" spans="2:9" ht="18" customHeight="1" x14ac:dyDescent="0.2">
      <c r="B15" s="48" t="s">
        <v>189</v>
      </c>
      <c r="C15" s="49" t="s">
        <v>195</v>
      </c>
      <c r="D15" s="49" t="s">
        <v>196</v>
      </c>
      <c r="E15" s="48" t="s">
        <v>193</v>
      </c>
      <c r="F15" s="48" t="str">
        <f t="shared" ca="1" si="0"/>
        <v>VENCIDO</v>
      </c>
      <c r="G15" s="43"/>
      <c r="H15" s="17"/>
      <c r="I15" s="50" t="s">
        <v>197</v>
      </c>
    </row>
    <row r="16" spans="2:9" ht="18" customHeight="1" x14ac:dyDescent="0.2">
      <c r="B16" s="41" t="s">
        <v>59</v>
      </c>
      <c r="C16" s="42" t="s">
        <v>186</v>
      </c>
      <c r="D16" s="42" t="s">
        <v>198</v>
      </c>
      <c r="E16" s="41" t="str">
        <f>IFERROR(CHOOSE(IF(C6=0,10,C6),"13-abr-26","14-abr-26","15-abr-26","16-abr-26","17-abr-26","20-abr-26","21-abr-26","22-abr-26","23-abr-26","24-abr-26"),"13-abr-26")</f>
        <v>24-abr-26</v>
      </c>
      <c r="F16" s="41" t="str">
        <f t="shared" ca="1" si="0"/>
        <v>AL DÍA</v>
      </c>
      <c r="G16" s="43"/>
      <c r="H16" s="17"/>
      <c r="I16" s="44" t="s">
        <v>188</v>
      </c>
    </row>
    <row r="17" spans="2:9" ht="18" customHeight="1" x14ac:dyDescent="0.2">
      <c r="B17" s="41" t="s">
        <v>60</v>
      </c>
      <c r="C17" s="42" t="s">
        <v>186</v>
      </c>
      <c r="D17" s="42" t="s">
        <v>199</v>
      </c>
      <c r="E17" s="41" t="str">
        <f>IFERROR(CHOOSE(IF(C6=0,10,C6),"12-may-26","13-may-26","14-may-26","15-may-26","19-may-26","20-may-26","21-may-26","22-may-26","25-may-26","26-may-26"),"12-may-26")</f>
        <v>26-may-26</v>
      </c>
      <c r="F17" s="41" t="str">
        <f t="shared" ca="1" si="0"/>
        <v>AL DÍA</v>
      </c>
      <c r="G17" s="43"/>
      <c r="H17" s="17"/>
      <c r="I17" s="44" t="s">
        <v>188</v>
      </c>
    </row>
    <row r="18" spans="2:9" ht="18" customHeight="1" x14ac:dyDescent="0.2">
      <c r="B18" s="51" t="s">
        <v>60</v>
      </c>
      <c r="C18" s="52" t="s">
        <v>200</v>
      </c>
      <c r="D18" s="52" t="s">
        <v>201</v>
      </c>
      <c r="E18" s="51" t="str">
        <f>IFERROR(CHOOSE(IF(C6=0,10,C6),"12-may-26","13-may-26","14-may-26","15-may-26","19-may-26","20-may-26","21-may-26","22-may-26","25-may-26","26-may-26"),"12-may-26")</f>
        <v>26-may-26</v>
      </c>
      <c r="F18" s="51" t="str">
        <f t="shared" ca="1" si="0"/>
        <v>AL DÍA</v>
      </c>
      <c r="G18" s="43"/>
      <c r="H18" s="17"/>
      <c r="I18" s="53" t="s">
        <v>202</v>
      </c>
    </row>
    <row r="19" spans="2:9" ht="18" customHeight="1" x14ac:dyDescent="0.2">
      <c r="B19" s="54" t="s">
        <v>60</v>
      </c>
      <c r="C19" s="55" t="s">
        <v>203</v>
      </c>
      <c r="D19" s="55" t="s">
        <v>204</v>
      </c>
      <c r="E19" s="54" t="str">
        <f>IFERROR(CHOOSE(IF(C6=0,10,C6),"12-may-26","13-may-26","14-may-26","15-may-26","19-may-26","20-may-26","21-may-26","22-may-26","25-may-26","26-may-26"),"12-may-26")</f>
        <v>26-may-26</v>
      </c>
      <c r="F19" s="54" t="str">
        <f t="shared" ca="1" si="0"/>
        <v>AL DÍA</v>
      </c>
      <c r="G19" s="43"/>
      <c r="H19" s="17"/>
      <c r="I19" s="56" t="s">
        <v>205</v>
      </c>
    </row>
    <row r="20" spans="2:9" ht="18" customHeight="1" x14ac:dyDescent="0.2">
      <c r="B20" s="57" t="s">
        <v>60</v>
      </c>
      <c r="C20" s="58" t="s">
        <v>206</v>
      </c>
      <c r="D20" s="58" t="s">
        <v>207</v>
      </c>
      <c r="E20" s="57" t="s">
        <v>208</v>
      </c>
      <c r="F20" s="57" t="str">
        <f t="shared" ca="1" si="0"/>
        <v>AL DÍA</v>
      </c>
      <c r="G20" s="43"/>
      <c r="H20" s="17"/>
      <c r="I20" s="59" t="s">
        <v>209</v>
      </c>
    </row>
    <row r="21" spans="2:9" ht="18" customHeight="1" x14ac:dyDescent="0.2">
      <c r="B21" s="41" t="s">
        <v>61</v>
      </c>
      <c r="C21" s="42" t="s">
        <v>186</v>
      </c>
      <c r="D21" s="42" t="s">
        <v>210</v>
      </c>
      <c r="E21" s="41" t="str">
        <f>IFERROR(CHOOSE(IF(C6=0,10,C6),"10-jun-26","11-jun-26","12-jun-26","16-jun-26","17-jun-26","18-jun-26","19-jun-26","22-jun-26","23-jun-26","24-jun-26"),"10-jun-26")</f>
        <v>24-jun-26</v>
      </c>
      <c r="F21" s="41" t="str">
        <f t="shared" ca="1" si="0"/>
        <v>AL DÍA</v>
      </c>
      <c r="G21" s="43"/>
      <c r="H21" s="17"/>
      <c r="I21" s="44" t="s">
        <v>188</v>
      </c>
    </row>
    <row r="22" spans="2:9" ht="18" customHeight="1" x14ac:dyDescent="0.2">
      <c r="B22" s="41" t="s">
        <v>62</v>
      </c>
      <c r="C22" s="42" t="s">
        <v>186</v>
      </c>
      <c r="D22" s="42" t="s">
        <v>211</v>
      </c>
      <c r="E22" s="41" t="str">
        <f>IFERROR(CHOOSE(IF(C6=0,10,C6),"09-jul-26","10-jul-26","13-jul-26","14-jul-26","15-jul-26","16-jul-26","17-jul-26","21-jul-26","22-jul-26","23-jul-26"),"09-jul-26")</f>
        <v>23-jul-26</v>
      </c>
      <c r="F22" s="41" t="str">
        <f t="shared" ca="1" si="0"/>
        <v>AL DÍA</v>
      </c>
      <c r="G22" s="43"/>
      <c r="H22" s="17"/>
      <c r="I22" s="44" t="s">
        <v>188</v>
      </c>
    </row>
    <row r="23" spans="2:9" ht="18" customHeight="1" x14ac:dyDescent="0.2">
      <c r="B23" s="54" t="s">
        <v>62</v>
      </c>
      <c r="C23" s="55" t="s">
        <v>203</v>
      </c>
      <c r="D23" s="55" t="s">
        <v>212</v>
      </c>
      <c r="E23" s="54" t="str">
        <f>IFERROR(CHOOSE(IF(C6=0,10,C6),"09-jul-26","10-jul-26","13-jul-26","14-jul-26","15-jul-26","16-jul-26","17-jul-26","21-jul-26","22-jul-26","23-jul-26"),"09-jul-26")</f>
        <v>23-jul-26</v>
      </c>
      <c r="F23" s="54" t="str">
        <f t="shared" ca="1" si="0"/>
        <v>AL DÍA</v>
      </c>
      <c r="G23" s="43"/>
      <c r="H23" s="17"/>
      <c r="I23" s="56" t="s">
        <v>213</v>
      </c>
    </row>
    <row r="24" spans="2:9" ht="18" customHeight="1" x14ac:dyDescent="0.2">
      <c r="B24" s="60" t="s">
        <v>62</v>
      </c>
      <c r="C24" s="61" t="s">
        <v>214</v>
      </c>
      <c r="D24" s="61" t="s">
        <v>207</v>
      </c>
      <c r="E24" s="60" t="s">
        <v>215</v>
      </c>
      <c r="F24" s="60" t="str">
        <f t="shared" ca="1" si="0"/>
        <v>AL DÍA</v>
      </c>
      <c r="G24" s="43"/>
      <c r="H24" s="17"/>
      <c r="I24" s="62" t="s">
        <v>216</v>
      </c>
    </row>
    <row r="25" spans="2:9" ht="18" customHeight="1" x14ac:dyDescent="0.2">
      <c r="B25" s="41" t="s">
        <v>63</v>
      </c>
      <c r="C25" s="42" t="s">
        <v>186</v>
      </c>
      <c r="D25" s="42" t="s">
        <v>217</v>
      </c>
      <c r="E25" s="41" t="str">
        <f>IFERROR(CHOOSE(IF(C6=0,10,C6),"12-ago-26","13-ago-26","14-ago-26","18-ago-26","19-ago-26","20-ago-26","21-ago-26","24-ago-26","25-ago-26","26-ago-26"),"12-ago-26")</f>
        <v>26-ago-26</v>
      </c>
      <c r="F25" s="41" t="str">
        <f t="shared" ca="1" si="0"/>
        <v>AL DÍA</v>
      </c>
      <c r="G25" s="43"/>
      <c r="H25" s="17"/>
      <c r="I25" s="44" t="s">
        <v>188</v>
      </c>
    </row>
    <row r="26" spans="2:9" ht="18" customHeight="1" x14ac:dyDescent="0.2">
      <c r="B26" s="41" t="s">
        <v>64</v>
      </c>
      <c r="C26" s="42" t="s">
        <v>186</v>
      </c>
      <c r="D26" s="42" t="s">
        <v>218</v>
      </c>
      <c r="E26" s="41" t="str">
        <f>IFERROR(CHOOSE(IF(C6=0,10,C6),"09-sep-26","10-sep-26","11-sep-26","14-sep-26","15-sep-26","16-sep-26","17-sep-26","18-sep-26","21-sep-26","22-sep-26"),"09-sep-26")</f>
        <v>22-sep-26</v>
      </c>
      <c r="F26" s="41" t="str">
        <f t="shared" ca="1" si="0"/>
        <v>AL DÍA</v>
      </c>
      <c r="G26" s="43"/>
      <c r="H26" s="17"/>
      <c r="I26" s="44" t="s">
        <v>188</v>
      </c>
    </row>
    <row r="27" spans="2:9" ht="18" customHeight="1" x14ac:dyDescent="0.2">
      <c r="B27" s="51" t="s">
        <v>64</v>
      </c>
      <c r="C27" s="52" t="s">
        <v>200</v>
      </c>
      <c r="D27" s="52" t="s">
        <v>219</v>
      </c>
      <c r="E27" s="51" t="str">
        <f>IFERROR(CHOOSE(IF(C6=0,10,C6),"09-sep-26","10-sep-26","11-sep-26","14-sep-26","15-sep-26","16-sep-26","17-sep-26","18-sep-26","21-sep-26","22-sep-26"),"09-sep-26")</f>
        <v>22-sep-26</v>
      </c>
      <c r="F27" s="51" t="str">
        <f t="shared" ca="1" si="0"/>
        <v>AL DÍA</v>
      </c>
      <c r="G27" s="43"/>
      <c r="H27" s="17"/>
      <c r="I27" s="53" t="s">
        <v>202</v>
      </c>
    </row>
    <row r="28" spans="2:9" ht="18" customHeight="1" x14ac:dyDescent="0.2">
      <c r="B28" s="41" t="s">
        <v>65</v>
      </c>
      <c r="C28" s="42" t="s">
        <v>186</v>
      </c>
      <c r="D28" s="42" t="s">
        <v>220</v>
      </c>
      <c r="E28" s="41" t="str">
        <f>IFERROR(CHOOSE(IF(C6=0,10,C6),"09-oct-26","13-oct-26","14-oct-26","15-oct-26","16-oct-26","19-oct-26","20-oct-26","21-oct-26","22-oct-26","23-oct-26"),"09-oct-26")</f>
        <v>23-oct-26</v>
      </c>
      <c r="F28" s="41" t="str">
        <f t="shared" ca="1" si="0"/>
        <v>AL DÍA</v>
      </c>
      <c r="G28" s="43"/>
      <c r="H28" s="17"/>
      <c r="I28" s="44" t="s">
        <v>188</v>
      </c>
    </row>
    <row r="29" spans="2:9" ht="18" customHeight="1" x14ac:dyDescent="0.2">
      <c r="B29" s="41" t="s">
        <v>66</v>
      </c>
      <c r="C29" s="42" t="s">
        <v>186</v>
      </c>
      <c r="D29" s="42" t="s">
        <v>221</v>
      </c>
      <c r="E29" s="41" t="str">
        <f>IFERROR(CHOOSE(IF(C6=0,10,C6),"11-nov-26","12-nov-26","13-nov-26","17-nov-26","18-nov-26","19-nov-26","20-nov-26","23-nov-26","24-nov-26","25-nov-26"),"11-nov-26")</f>
        <v>25-nov-26</v>
      </c>
      <c r="F29" s="41" t="str">
        <f t="shared" ca="1" si="0"/>
        <v>AL DÍA</v>
      </c>
      <c r="G29" s="43"/>
      <c r="H29" s="17"/>
      <c r="I29" s="44" t="s">
        <v>188</v>
      </c>
    </row>
    <row r="30" spans="2:9" ht="18" customHeight="1" x14ac:dyDescent="0.2">
      <c r="B30" s="41" t="s">
        <v>67</v>
      </c>
      <c r="C30" s="42" t="s">
        <v>186</v>
      </c>
      <c r="D30" s="42" t="s">
        <v>222</v>
      </c>
      <c r="E30" s="41" t="str">
        <f>IFERROR(CHOOSE(IF(C6=0,10,C6),"10-dic-26","11-dic-26","14-dic-26","15-dic-26","16-dic-26","17-dic-26","18-dic-26","21-dic-26","22-dic-26","23-dic-26"),"10-dic-26")</f>
        <v>23-dic-26</v>
      </c>
      <c r="F30" s="41" t="str">
        <f t="shared" ca="1" si="0"/>
        <v>AL DÍA</v>
      </c>
      <c r="G30" s="43"/>
      <c r="H30" s="17"/>
      <c r="I30" s="44" t="s">
        <v>188</v>
      </c>
    </row>
    <row r="31" spans="2:9" ht="18" customHeight="1" x14ac:dyDescent="0.2">
      <c r="B31" s="41" t="s">
        <v>68</v>
      </c>
      <c r="C31" s="42" t="s">
        <v>186</v>
      </c>
      <c r="D31" s="42" t="s">
        <v>223</v>
      </c>
      <c r="E31" s="41" t="str">
        <f>IFERROR(CHOOSE(IF(C6=0,10,C6),"13-ene-27","14-ene-27","15-ene-27","18-ene-27","19-ene-27","20-ene-27","21-ene-27","22-ene-27","25-ene-27","26-ene-27"),"13-ene-27")</f>
        <v>26-ene-27</v>
      </c>
      <c r="F31" s="41" t="str">
        <f t="shared" ca="1" si="0"/>
        <v>AL DÍA</v>
      </c>
      <c r="G31" s="43"/>
      <c r="H31" s="17"/>
      <c r="I31" s="44" t="s">
        <v>188</v>
      </c>
    </row>
    <row r="32" spans="2:9" ht="18" customHeight="1" x14ac:dyDescent="0.2">
      <c r="B32" s="51" t="s">
        <v>68</v>
      </c>
      <c r="C32" s="52" t="s">
        <v>200</v>
      </c>
      <c r="D32" s="52" t="s">
        <v>224</v>
      </c>
      <c r="E32" s="51" t="str">
        <f>IFERROR(CHOOSE(IF(C6=0,10,C6),"13-ene-27","14-ene-27","15-ene-27","18-ene-27","19-ene-27","20-ene-27","21-ene-27","22-ene-27","25-ene-27","26-ene-27"),"13-ene-27")</f>
        <v>26-ene-27</v>
      </c>
      <c r="F32" s="51" t="str">
        <f t="shared" ca="1" si="0"/>
        <v>AL DÍA</v>
      </c>
      <c r="G32" s="43"/>
      <c r="H32" s="17"/>
      <c r="I32" s="53" t="s">
        <v>202</v>
      </c>
    </row>
    <row r="34" spans="2:9" x14ac:dyDescent="0.2">
      <c r="B34" s="77" t="s">
        <v>225</v>
      </c>
      <c r="C34" s="77"/>
      <c r="D34" s="77"/>
      <c r="E34" s="77"/>
      <c r="F34" s="77"/>
      <c r="G34" s="77"/>
      <c r="H34" s="63">
        <f>SUM(H12:H32)</f>
        <v>0</v>
      </c>
      <c r="I34" s="64"/>
    </row>
    <row r="36" spans="2:9" ht="15" customHeight="1" x14ac:dyDescent="0.2">
      <c r="B36" s="5" t="s">
        <v>226</v>
      </c>
      <c r="C36" s="5"/>
      <c r="D36" s="5"/>
      <c r="E36" s="5"/>
      <c r="F36" s="5"/>
      <c r="G36" s="5"/>
      <c r="H36" s="5"/>
      <c r="I36" s="5"/>
    </row>
    <row r="37" spans="2:9" ht="15" customHeight="1" x14ac:dyDescent="0.2">
      <c r="B37" s="5" t="s">
        <v>227</v>
      </c>
      <c r="C37" s="5"/>
      <c r="D37" s="5"/>
      <c r="E37" s="5"/>
      <c r="F37" s="5"/>
      <c r="G37" s="5"/>
      <c r="H37" s="5"/>
      <c r="I37" s="5"/>
    </row>
  </sheetData>
  <mergeCells count="12">
    <mergeCell ref="B36:I36"/>
    <mergeCell ref="B37:I37"/>
    <mergeCell ref="B9:C9"/>
    <mergeCell ref="D9:E9"/>
    <mergeCell ref="F9:G9"/>
    <mergeCell ref="H9:I9"/>
    <mergeCell ref="B34:G34"/>
    <mergeCell ref="B2:I2"/>
    <mergeCell ref="B3:I3"/>
    <mergeCell ref="B5:I5"/>
    <mergeCell ref="D6:I6"/>
    <mergeCell ref="B8:C8"/>
  </mergeCells>
  <conditionalFormatting sqref="F12:F32">
    <cfRule type="expression" dxfId="8" priority="2">
      <formula>F12="VENCIDO"</formula>
    </cfRule>
    <cfRule type="expression" dxfId="7" priority="3">
      <formula>LEFT(F12,7)="PRÓXIMO"</formula>
    </cfRule>
    <cfRule type="expression" dxfId="6" priority="4">
      <formula>F12="AL DÍA"</formula>
    </cfRule>
    <cfRule type="expression" dxfId="5" priority="5">
      <formula>F12="PAGADO"</formula>
    </cfRule>
  </conditionalFormatting>
  <hyperlinks>
    <hyperlink ref="B4" location="'Flujo de Caja'!A1" display="→ Flujo de Caja" xr:uid="{00000000-0004-0000-0300-000000000000}"/>
    <hyperlink ref="C4" location="'Supuestos'!A1" display="→ Supuestos" xr:uid="{00000000-0004-0000-0300-000001000000}"/>
    <hyperlink ref="D4" location="'Dashboard'!A1" display="→ Dashboard" xr:uid="{00000000-0004-0000-0300-000002000000}"/>
    <hyperlink ref="E4" location="'Control de Cartera'!A1" display="→ Cartera" xr:uid="{00000000-0004-0000-0300-000003000000}"/>
  </hyperlinks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01696F"/>
  </sheetPr>
  <dimension ref="B2:Q212"/>
  <sheetViews>
    <sheetView zoomScaleNormal="100" workbookViewId="0">
      <pane xSplit="2" ySplit="9" topLeftCell="C10" activePane="bottomRight" state="frozen"/>
      <selection pane="topRight" activeCell="C1" sqref="C1"/>
      <selection pane="bottomLeft" activeCell="A10" sqref="A10"/>
      <selection pane="bottomRight" activeCell="N7" sqref="N7:O7"/>
    </sheetView>
  </sheetViews>
  <sheetFormatPr baseColWidth="10" defaultColWidth="8.6640625" defaultRowHeight="15" customHeight="1" x14ac:dyDescent="0.2"/>
  <cols>
    <col min="1" max="1" width="3" customWidth="1"/>
    <col min="2" max="2" width="6" customWidth="1"/>
    <col min="3" max="3" width="30" customWidth="1"/>
    <col min="4" max="4" width="22" customWidth="1"/>
    <col min="5" max="5" width="18" customWidth="1"/>
    <col min="6" max="7" width="14" customWidth="1"/>
    <col min="8" max="8" width="16" customWidth="1"/>
    <col min="9" max="11" width="14" customWidth="1"/>
    <col min="12" max="14" width="16" customWidth="1"/>
    <col min="15" max="15" width="12" customWidth="1"/>
    <col min="16" max="16" width="14" customWidth="1"/>
    <col min="17" max="17" width="30" customWidth="1"/>
  </cols>
  <sheetData>
    <row r="2" spans="2:17" ht="30" customHeight="1" x14ac:dyDescent="0.2">
      <c r="B2" s="12" t="s">
        <v>228</v>
      </c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</row>
    <row r="3" spans="2:17" x14ac:dyDescent="0.2">
      <c r="B3" s="7" t="s">
        <v>229</v>
      </c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spans="2:17" x14ac:dyDescent="0.2">
      <c r="B4" s="13" t="s">
        <v>2</v>
      </c>
      <c r="C4" s="13" t="s">
        <v>57</v>
      </c>
      <c r="D4" s="13" t="s">
        <v>4</v>
      </c>
    </row>
    <row r="6" spans="2:17" x14ac:dyDescent="0.2">
      <c r="B6" s="78" t="s">
        <v>230</v>
      </c>
      <c r="C6" s="78"/>
      <c r="D6" s="78" t="s">
        <v>231</v>
      </c>
      <c r="E6" s="78"/>
      <c r="F6" s="78" t="s">
        <v>232</v>
      </c>
      <c r="G6" s="78"/>
      <c r="H6" s="78" t="s">
        <v>233</v>
      </c>
      <c r="I6" s="78"/>
      <c r="J6" s="78" t="s">
        <v>234</v>
      </c>
      <c r="K6" s="78"/>
      <c r="L6" s="78" t="s">
        <v>235</v>
      </c>
      <c r="M6" s="78"/>
      <c r="N6" s="78" t="s">
        <v>236</v>
      </c>
      <c r="O6" s="78"/>
    </row>
    <row r="7" spans="2:17" ht="30" customHeight="1" x14ac:dyDescent="0.2">
      <c r="B7" s="79">
        <f ca="1">IFERROR(SUM(H7:H206),0)</f>
        <v>6261700</v>
      </c>
      <c r="C7" s="79"/>
      <c r="D7" s="79">
        <f>IFERROR(SUM(I7:I206),0)</f>
        <v>475000</v>
      </c>
      <c r="E7" s="79"/>
      <c r="F7" s="79">
        <f>IFERROR(SUM(J7:J206)+SUM(K7:K206),0)</f>
        <v>2094150</v>
      </c>
      <c r="G7" s="79"/>
      <c r="H7" s="79">
        <f ca="1">IFERROR(SUM(L7:L206),0)</f>
        <v>3761700</v>
      </c>
      <c r="I7" s="79"/>
      <c r="J7" s="79">
        <f>IFERROR(SUM(M7:M206),0)</f>
        <v>2000000</v>
      </c>
      <c r="K7" s="79"/>
      <c r="L7" s="79">
        <f ca="1">IFERROR(SUMIF(P7:P206,"VIGENTE",N7:N206),0)</f>
        <v>880850</v>
      </c>
      <c r="M7" s="79"/>
      <c r="N7" s="79">
        <f ca="1">IFERROR(SUMIF(P7:P206,"VENCIDA",N7:N206)+SUMIF(P7:P206,"CRÍTICA",N7:N206),0)</f>
        <v>0</v>
      </c>
      <c r="O7" s="79"/>
    </row>
    <row r="9" spans="2:17" ht="34.5" customHeight="1" x14ac:dyDescent="0.2">
      <c r="B9" s="40" t="s">
        <v>237</v>
      </c>
      <c r="C9" s="40" t="s">
        <v>238</v>
      </c>
      <c r="D9" s="40" t="s">
        <v>239</v>
      </c>
      <c r="E9" s="40" t="s">
        <v>240</v>
      </c>
      <c r="F9" s="65" t="s">
        <v>241</v>
      </c>
      <c r="G9" s="65" t="s">
        <v>242</v>
      </c>
      <c r="H9" s="40" t="s">
        <v>243</v>
      </c>
      <c r="I9" s="40" t="s">
        <v>244</v>
      </c>
      <c r="J9" s="40" t="s">
        <v>245</v>
      </c>
      <c r="K9" s="40" t="s">
        <v>246</v>
      </c>
      <c r="L9" s="40" t="s">
        <v>247</v>
      </c>
      <c r="M9" s="40" t="s">
        <v>248</v>
      </c>
      <c r="N9" s="40" t="s">
        <v>249</v>
      </c>
      <c r="O9" s="40" t="s">
        <v>250</v>
      </c>
      <c r="P9" s="40" t="s">
        <v>181</v>
      </c>
      <c r="Q9" s="40" t="s">
        <v>251</v>
      </c>
    </row>
    <row r="10" spans="2:17" ht="15.75" customHeight="1" x14ac:dyDescent="0.2">
      <c r="B10" s="66">
        <v>1</v>
      </c>
      <c r="C10" s="30" t="s">
        <v>254</v>
      </c>
      <c r="D10" s="30" t="s">
        <v>255</v>
      </c>
      <c r="E10" s="30">
        <v>1</v>
      </c>
      <c r="F10" s="43">
        <v>46112</v>
      </c>
      <c r="G10" s="43">
        <v>46116</v>
      </c>
      <c r="H10" s="17">
        <v>2500000</v>
      </c>
      <c r="I10" s="67">
        <f>IF(H10&lt;&gt;"",H10*Supuestos!$C$11,"")</f>
        <v>475000</v>
      </c>
      <c r="J10" s="67">
        <f>IF(H10&lt;&gt;"",H10*Supuestos!$C$12*Supuestos!$C$13,"")</f>
        <v>70000</v>
      </c>
      <c r="K10" s="67">
        <f>IF(H10&lt;&gt;"",H10*Supuestos!$C$14,"")</f>
        <v>24150</v>
      </c>
      <c r="L10" s="68">
        <f t="shared" ref="L10:L41" si="0">IF(H10&lt;&gt;"",H10+I10-J10-K10,"")</f>
        <v>2880850</v>
      </c>
      <c r="M10" s="17">
        <v>2000000</v>
      </c>
      <c r="N10" s="68">
        <f t="shared" ref="N10:N41" si="1">IF(H10&lt;&gt;"",IF(M10&lt;&gt;"",L10-M10,L10),"")</f>
        <v>880850</v>
      </c>
      <c r="O10" s="69">
        <f t="shared" ref="O10:O41" ca="1" si="2">IF(AND(H10&lt;&gt;"",N10&gt;0,G10&lt;&gt;""),MAX(TODAY()-G10,0),"")</f>
        <v>0</v>
      </c>
      <c r="P10" s="70" t="str">
        <f t="shared" ref="P10:P41" ca="1" si="3">IF(H10="","",IF(N10&lt;=0,"COBRADA",IF(G10="","VIGENTE",IF(TODAY()&lt;=G10,"VIGENTE",IF(TODAY()-G10&lt;=30,"VENCIDA",IF(TODAY()-G10&lt;=90,"CRÍTICA","CASTIGAR"))))))</f>
        <v>VIGENTE</v>
      </c>
      <c r="Q10" s="71"/>
    </row>
    <row r="11" spans="2:17" ht="15.75" customHeight="1" x14ac:dyDescent="0.2">
      <c r="B11" s="72">
        <v>2</v>
      </c>
      <c r="C11" s="30"/>
      <c r="D11" s="30"/>
      <c r="E11" s="30"/>
      <c r="F11" s="43"/>
      <c r="G11" s="43"/>
      <c r="H11" s="17"/>
      <c r="I11" s="73" t="str">
        <f>IF(H11&lt;&gt;"",H11*Supuestos!$C$11,"")</f>
        <v/>
      </c>
      <c r="J11" s="73" t="str">
        <f>IF(H11&lt;&gt;"",H11*Supuestos!$C$12*Supuestos!$C$13,"")</f>
        <v/>
      </c>
      <c r="K11" s="73" t="str">
        <f>IF(H11&lt;&gt;"",H11*Supuestos!$C$14,"")</f>
        <v/>
      </c>
      <c r="L11" s="32" t="str">
        <f t="shared" si="0"/>
        <v/>
      </c>
      <c r="M11" s="17"/>
      <c r="N11" s="32" t="str">
        <f t="shared" si="1"/>
        <v/>
      </c>
      <c r="O11" s="74" t="str">
        <f t="shared" ca="1" si="2"/>
        <v/>
      </c>
      <c r="P11" s="75" t="str">
        <f t="shared" ca="1" si="3"/>
        <v/>
      </c>
      <c r="Q11" s="71"/>
    </row>
    <row r="12" spans="2:17" ht="15.75" customHeight="1" x14ac:dyDescent="0.2">
      <c r="B12" s="66">
        <v>3</v>
      </c>
      <c r="C12" s="30"/>
      <c r="D12" s="30"/>
      <c r="E12" s="30"/>
      <c r="F12" s="43"/>
      <c r="G12" s="43"/>
      <c r="H12" s="17"/>
      <c r="I12" s="67" t="str">
        <f>IF(H12&lt;&gt;"",H12*Supuestos!$C$11,"")</f>
        <v/>
      </c>
      <c r="J12" s="67" t="str">
        <f>IF(H12&lt;&gt;"",H12*Supuestos!$C$12*Supuestos!$C$13,"")</f>
        <v/>
      </c>
      <c r="K12" s="67" t="str">
        <f>IF(H12&lt;&gt;"",H12*Supuestos!$C$14,"")</f>
        <v/>
      </c>
      <c r="L12" s="68" t="str">
        <f t="shared" si="0"/>
        <v/>
      </c>
      <c r="M12" s="17"/>
      <c r="N12" s="68" t="str">
        <f t="shared" si="1"/>
        <v/>
      </c>
      <c r="O12" s="69" t="str">
        <f t="shared" ca="1" si="2"/>
        <v/>
      </c>
      <c r="P12" s="70" t="str">
        <f t="shared" ca="1" si="3"/>
        <v/>
      </c>
      <c r="Q12" s="71"/>
    </row>
    <row r="13" spans="2:17" ht="15.75" customHeight="1" x14ac:dyDescent="0.2">
      <c r="B13" s="72">
        <v>4</v>
      </c>
      <c r="C13" s="30"/>
      <c r="D13" s="30"/>
      <c r="E13" s="30"/>
      <c r="F13" s="43"/>
      <c r="G13" s="43"/>
      <c r="H13" s="17"/>
      <c r="I13" s="73" t="str">
        <f>IF(H13&lt;&gt;"",H13*Supuestos!$C$11,"")</f>
        <v/>
      </c>
      <c r="J13" s="73" t="str">
        <f>IF(H13&lt;&gt;"",H13*Supuestos!$C$12*Supuestos!$C$13,"")</f>
        <v/>
      </c>
      <c r="K13" s="73" t="str">
        <f>IF(H13&lt;&gt;"",H13*Supuestos!$C$14,"")</f>
        <v/>
      </c>
      <c r="L13" s="32" t="str">
        <f t="shared" si="0"/>
        <v/>
      </c>
      <c r="M13" s="17"/>
      <c r="N13" s="32" t="str">
        <f t="shared" si="1"/>
        <v/>
      </c>
      <c r="O13" s="74" t="str">
        <f t="shared" ca="1" si="2"/>
        <v/>
      </c>
      <c r="P13" s="75" t="str">
        <f t="shared" ca="1" si="3"/>
        <v/>
      </c>
      <c r="Q13" s="71"/>
    </row>
    <row r="14" spans="2:17" ht="15.75" customHeight="1" x14ac:dyDescent="0.2">
      <c r="B14" s="66">
        <v>5</v>
      </c>
      <c r="C14" s="30"/>
      <c r="D14" s="30"/>
      <c r="E14" s="30"/>
      <c r="F14" s="43"/>
      <c r="G14" s="43"/>
      <c r="H14" s="17"/>
      <c r="I14" s="67" t="str">
        <f>IF(H14&lt;&gt;"",H14*Supuestos!$C$11,"")</f>
        <v/>
      </c>
      <c r="J14" s="67" t="str">
        <f>IF(H14&lt;&gt;"",H14*Supuestos!$C$12*Supuestos!$C$13,"")</f>
        <v/>
      </c>
      <c r="K14" s="67" t="str">
        <f>IF(H14&lt;&gt;"",H14*Supuestos!$C$14,"")</f>
        <v/>
      </c>
      <c r="L14" s="68" t="str">
        <f t="shared" si="0"/>
        <v/>
      </c>
      <c r="M14" s="17"/>
      <c r="N14" s="68" t="str">
        <f t="shared" si="1"/>
        <v/>
      </c>
      <c r="O14" s="69" t="str">
        <f t="shared" ca="1" si="2"/>
        <v/>
      </c>
      <c r="P14" s="70" t="str">
        <f t="shared" ca="1" si="3"/>
        <v/>
      </c>
      <c r="Q14" s="71"/>
    </row>
    <row r="15" spans="2:17" ht="15.75" customHeight="1" x14ac:dyDescent="0.2">
      <c r="B15" s="72">
        <v>6</v>
      </c>
      <c r="C15" s="30"/>
      <c r="D15" s="30"/>
      <c r="E15" s="30"/>
      <c r="F15" s="43"/>
      <c r="G15" s="43"/>
      <c r="H15" s="17"/>
      <c r="I15" s="73" t="str">
        <f>IF(H15&lt;&gt;"",H15*Supuestos!$C$11,"")</f>
        <v/>
      </c>
      <c r="J15" s="73" t="str">
        <f>IF(H15&lt;&gt;"",H15*Supuestos!$C$12*Supuestos!$C$13,"")</f>
        <v/>
      </c>
      <c r="K15" s="73" t="str">
        <f>IF(H15&lt;&gt;"",H15*Supuestos!$C$14,"")</f>
        <v/>
      </c>
      <c r="L15" s="32" t="str">
        <f t="shared" si="0"/>
        <v/>
      </c>
      <c r="M15" s="17"/>
      <c r="N15" s="32" t="str">
        <f t="shared" si="1"/>
        <v/>
      </c>
      <c r="O15" s="74" t="str">
        <f t="shared" ca="1" si="2"/>
        <v/>
      </c>
      <c r="P15" s="75" t="str">
        <f t="shared" ca="1" si="3"/>
        <v/>
      </c>
      <c r="Q15" s="71"/>
    </row>
    <row r="16" spans="2:17" ht="15.75" customHeight="1" x14ac:dyDescent="0.2">
      <c r="B16" s="66">
        <v>7</v>
      </c>
      <c r="C16" s="30"/>
      <c r="D16" s="30"/>
      <c r="E16" s="30"/>
      <c r="F16" s="43"/>
      <c r="G16" s="43"/>
      <c r="H16" s="17"/>
      <c r="I16" s="67" t="str">
        <f>IF(H16&lt;&gt;"",H16*Supuestos!$C$11,"")</f>
        <v/>
      </c>
      <c r="J16" s="67" t="str">
        <f>IF(H16&lt;&gt;"",H16*Supuestos!$C$12*Supuestos!$C$13,"")</f>
        <v/>
      </c>
      <c r="K16" s="67" t="str">
        <f>IF(H16&lt;&gt;"",H16*Supuestos!$C$14,"")</f>
        <v/>
      </c>
      <c r="L16" s="68" t="str">
        <f t="shared" si="0"/>
        <v/>
      </c>
      <c r="M16" s="17"/>
      <c r="N16" s="68" t="str">
        <f t="shared" si="1"/>
        <v/>
      </c>
      <c r="O16" s="69" t="str">
        <f t="shared" ca="1" si="2"/>
        <v/>
      </c>
      <c r="P16" s="70" t="str">
        <f t="shared" ca="1" si="3"/>
        <v/>
      </c>
      <c r="Q16" s="71"/>
    </row>
    <row r="17" spans="2:17" ht="15.75" customHeight="1" x14ac:dyDescent="0.2">
      <c r="B17" s="72">
        <v>8</v>
      </c>
      <c r="C17" s="30"/>
      <c r="D17" s="30"/>
      <c r="E17" s="30"/>
      <c r="F17" s="43"/>
      <c r="G17" s="43"/>
      <c r="H17" s="17"/>
      <c r="I17" s="73" t="str">
        <f>IF(H17&lt;&gt;"",H17*Supuestos!$C$11,"")</f>
        <v/>
      </c>
      <c r="J17" s="73" t="str">
        <f>IF(H17&lt;&gt;"",H17*Supuestos!$C$12*Supuestos!$C$13,"")</f>
        <v/>
      </c>
      <c r="K17" s="73" t="str">
        <f>IF(H17&lt;&gt;"",H17*Supuestos!$C$14,"")</f>
        <v/>
      </c>
      <c r="L17" s="32" t="str">
        <f t="shared" si="0"/>
        <v/>
      </c>
      <c r="M17" s="17"/>
      <c r="N17" s="32" t="str">
        <f t="shared" si="1"/>
        <v/>
      </c>
      <c r="O17" s="74" t="str">
        <f t="shared" ca="1" si="2"/>
        <v/>
      </c>
      <c r="P17" s="75" t="str">
        <f t="shared" ca="1" si="3"/>
        <v/>
      </c>
      <c r="Q17" s="71"/>
    </row>
    <row r="18" spans="2:17" ht="15.75" customHeight="1" x14ac:dyDescent="0.2">
      <c r="B18" s="66">
        <v>9</v>
      </c>
      <c r="C18" s="30"/>
      <c r="D18" s="30"/>
      <c r="E18" s="30"/>
      <c r="F18" s="43"/>
      <c r="G18" s="43"/>
      <c r="H18" s="17"/>
      <c r="I18" s="67" t="str">
        <f>IF(H18&lt;&gt;"",H18*Supuestos!$C$11,"")</f>
        <v/>
      </c>
      <c r="J18" s="67" t="str">
        <f>IF(H18&lt;&gt;"",H18*Supuestos!$C$12*Supuestos!$C$13,"")</f>
        <v/>
      </c>
      <c r="K18" s="67" t="str">
        <f>IF(H18&lt;&gt;"",H18*Supuestos!$C$14,"")</f>
        <v/>
      </c>
      <c r="L18" s="68" t="str">
        <f t="shared" si="0"/>
        <v/>
      </c>
      <c r="M18" s="17"/>
      <c r="N18" s="68" t="str">
        <f t="shared" si="1"/>
        <v/>
      </c>
      <c r="O18" s="69" t="str">
        <f t="shared" ca="1" si="2"/>
        <v/>
      </c>
      <c r="P18" s="70" t="str">
        <f t="shared" ca="1" si="3"/>
        <v/>
      </c>
      <c r="Q18" s="71"/>
    </row>
    <row r="19" spans="2:17" ht="15.75" customHeight="1" x14ac:dyDescent="0.2">
      <c r="B19" s="72">
        <v>10</v>
      </c>
      <c r="C19" s="30"/>
      <c r="D19" s="30"/>
      <c r="E19" s="30"/>
      <c r="F19" s="43"/>
      <c r="G19" s="43"/>
      <c r="H19" s="17"/>
      <c r="I19" s="73" t="str">
        <f>IF(H19&lt;&gt;"",H19*Supuestos!$C$11,"")</f>
        <v/>
      </c>
      <c r="J19" s="73" t="str">
        <f>IF(H19&lt;&gt;"",H19*Supuestos!$C$12*Supuestos!$C$13,"")</f>
        <v/>
      </c>
      <c r="K19" s="73" t="str">
        <f>IF(H19&lt;&gt;"",H19*Supuestos!$C$14,"")</f>
        <v/>
      </c>
      <c r="L19" s="32" t="str">
        <f t="shared" si="0"/>
        <v/>
      </c>
      <c r="M19" s="17"/>
      <c r="N19" s="32" t="str">
        <f t="shared" si="1"/>
        <v/>
      </c>
      <c r="O19" s="74" t="str">
        <f t="shared" ca="1" si="2"/>
        <v/>
      </c>
      <c r="P19" s="75" t="str">
        <f t="shared" ca="1" si="3"/>
        <v/>
      </c>
      <c r="Q19" s="71"/>
    </row>
    <row r="20" spans="2:17" ht="15.75" customHeight="1" x14ac:dyDescent="0.2">
      <c r="B20" s="66">
        <v>11</v>
      </c>
      <c r="C20" s="30"/>
      <c r="D20" s="30"/>
      <c r="E20" s="30"/>
      <c r="F20" s="43"/>
      <c r="G20" s="43"/>
      <c r="H20" s="17"/>
      <c r="I20" s="67" t="str">
        <f>IF(H20&lt;&gt;"",H20*Supuestos!$C$11,"")</f>
        <v/>
      </c>
      <c r="J20" s="67" t="str">
        <f>IF(H20&lt;&gt;"",H20*Supuestos!$C$12*Supuestos!$C$13,"")</f>
        <v/>
      </c>
      <c r="K20" s="67" t="str">
        <f>IF(H20&lt;&gt;"",H20*Supuestos!$C$14,"")</f>
        <v/>
      </c>
      <c r="L20" s="68" t="str">
        <f t="shared" si="0"/>
        <v/>
      </c>
      <c r="M20" s="17"/>
      <c r="N20" s="68" t="str">
        <f t="shared" si="1"/>
        <v/>
      </c>
      <c r="O20" s="69" t="str">
        <f t="shared" ca="1" si="2"/>
        <v/>
      </c>
      <c r="P20" s="70" t="str">
        <f t="shared" ca="1" si="3"/>
        <v/>
      </c>
      <c r="Q20" s="71"/>
    </row>
    <row r="21" spans="2:17" ht="15.75" customHeight="1" x14ac:dyDescent="0.2">
      <c r="B21" s="72">
        <v>12</v>
      </c>
      <c r="C21" s="30"/>
      <c r="D21" s="30"/>
      <c r="E21" s="30"/>
      <c r="F21" s="43"/>
      <c r="G21" s="43"/>
      <c r="H21" s="17"/>
      <c r="I21" s="73" t="str">
        <f>IF(H21&lt;&gt;"",H21*Supuestos!$C$11,"")</f>
        <v/>
      </c>
      <c r="J21" s="73" t="str">
        <f>IF(H21&lt;&gt;"",H21*Supuestos!$C$12*Supuestos!$C$13,"")</f>
        <v/>
      </c>
      <c r="K21" s="73" t="str">
        <f>IF(H21&lt;&gt;"",H21*Supuestos!$C$14,"")</f>
        <v/>
      </c>
      <c r="L21" s="32" t="str">
        <f t="shared" si="0"/>
        <v/>
      </c>
      <c r="M21" s="17"/>
      <c r="N21" s="32" t="str">
        <f t="shared" si="1"/>
        <v/>
      </c>
      <c r="O21" s="74" t="str">
        <f t="shared" ca="1" si="2"/>
        <v/>
      </c>
      <c r="P21" s="75" t="str">
        <f t="shared" ca="1" si="3"/>
        <v/>
      </c>
      <c r="Q21" s="71"/>
    </row>
    <row r="22" spans="2:17" ht="15.75" customHeight="1" x14ac:dyDescent="0.2">
      <c r="B22" s="66">
        <v>13</v>
      </c>
      <c r="C22" s="30"/>
      <c r="D22" s="30"/>
      <c r="E22" s="30"/>
      <c r="F22" s="43"/>
      <c r="G22" s="43"/>
      <c r="H22" s="17"/>
      <c r="I22" s="67" t="str">
        <f>IF(H22&lt;&gt;"",H22*Supuestos!$C$11,"")</f>
        <v/>
      </c>
      <c r="J22" s="67" t="str">
        <f>IF(H22&lt;&gt;"",H22*Supuestos!$C$12*Supuestos!$C$13,"")</f>
        <v/>
      </c>
      <c r="K22" s="67" t="str">
        <f>IF(H22&lt;&gt;"",H22*Supuestos!$C$14,"")</f>
        <v/>
      </c>
      <c r="L22" s="68" t="str">
        <f t="shared" si="0"/>
        <v/>
      </c>
      <c r="M22" s="17"/>
      <c r="N22" s="68" t="str">
        <f t="shared" si="1"/>
        <v/>
      </c>
      <c r="O22" s="69" t="str">
        <f t="shared" ca="1" si="2"/>
        <v/>
      </c>
      <c r="P22" s="70" t="str">
        <f t="shared" ca="1" si="3"/>
        <v/>
      </c>
      <c r="Q22" s="71"/>
    </row>
    <row r="23" spans="2:17" ht="15.75" customHeight="1" x14ac:dyDescent="0.2">
      <c r="B23" s="72">
        <v>14</v>
      </c>
      <c r="C23" s="30"/>
      <c r="D23" s="30"/>
      <c r="E23" s="30"/>
      <c r="F23" s="43"/>
      <c r="G23" s="43"/>
      <c r="H23" s="17"/>
      <c r="I23" s="73" t="str">
        <f>IF(H23&lt;&gt;"",H23*Supuestos!$C$11,"")</f>
        <v/>
      </c>
      <c r="J23" s="73" t="str">
        <f>IF(H23&lt;&gt;"",H23*Supuestos!$C$12*Supuestos!$C$13,"")</f>
        <v/>
      </c>
      <c r="K23" s="73" t="str">
        <f>IF(H23&lt;&gt;"",H23*Supuestos!$C$14,"")</f>
        <v/>
      </c>
      <c r="L23" s="32" t="str">
        <f t="shared" si="0"/>
        <v/>
      </c>
      <c r="M23" s="17"/>
      <c r="N23" s="32" t="str">
        <f t="shared" si="1"/>
        <v/>
      </c>
      <c r="O23" s="74" t="str">
        <f t="shared" ca="1" si="2"/>
        <v/>
      </c>
      <c r="P23" s="75" t="str">
        <f t="shared" ca="1" si="3"/>
        <v/>
      </c>
      <c r="Q23" s="71"/>
    </row>
    <row r="24" spans="2:17" ht="15.75" customHeight="1" x14ac:dyDescent="0.2">
      <c r="B24" s="66">
        <v>15</v>
      </c>
      <c r="C24" s="30"/>
      <c r="D24" s="30"/>
      <c r="E24" s="30"/>
      <c r="F24" s="43"/>
      <c r="G24" s="43"/>
      <c r="H24" s="17"/>
      <c r="I24" s="67" t="str">
        <f>IF(H24&lt;&gt;"",H24*Supuestos!$C$11,"")</f>
        <v/>
      </c>
      <c r="J24" s="67" t="str">
        <f>IF(H24&lt;&gt;"",H24*Supuestos!$C$12*Supuestos!$C$13,"")</f>
        <v/>
      </c>
      <c r="K24" s="67" t="str">
        <f>IF(H24&lt;&gt;"",H24*Supuestos!$C$14,"")</f>
        <v/>
      </c>
      <c r="L24" s="68" t="str">
        <f t="shared" si="0"/>
        <v/>
      </c>
      <c r="M24" s="17"/>
      <c r="N24" s="68" t="str">
        <f t="shared" si="1"/>
        <v/>
      </c>
      <c r="O24" s="69" t="str">
        <f t="shared" ca="1" si="2"/>
        <v/>
      </c>
      <c r="P24" s="70" t="str">
        <f t="shared" ca="1" si="3"/>
        <v/>
      </c>
      <c r="Q24" s="71"/>
    </row>
    <row r="25" spans="2:17" ht="15.75" customHeight="1" x14ac:dyDescent="0.2">
      <c r="B25" s="72">
        <v>16</v>
      </c>
      <c r="C25" s="30"/>
      <c r="D25" s="30"/>
      <c r="E25" s="30"/>
      <c r="F25" s="43"/>
      <c r="G25" s="43"/>
      <c r="H25" s="17"/>
      <c r="I25" s="73" t="str">
        <f>IF(H25&lt;&gt;"",H25*Supuestos!$C$11,"")</f>
        <v/>
      </c>
      <c r="J25" s="73" t="str">
        <f>IF(H25&lt;&gt;"",H25*Supuestos!$C$12*Supuestos!$C$13,"")</f>
        <v/>
      </c>
      <c r="K25" s="73" t="str">
        <f>IF(H25&lt;&gt;"",H25*Supuestos!$C$14,"")</f>
        <v/>
      </c>
      <c r="L25" s="32" t="str">
        <f t="shared" si="0"/>
        <v/>
      </c>
      <c r="M25" s="17"/>
      <c r="N25" s="32" t="str">
        <f t="shared" si="1"/>
        <v/>
      </c>
      <c r="O25" s="74" t="str">
        <f t="shared" ca="1" si="2"/>
        <v/>
      </c>
      <c r="P25" s="75" t="str">
        <f t="shared" ca="1" si="3"/>
        <v/>
      </c>
      <c r="Q25" s="71"/>
    </row>
    <row r="26" spans="2:17" ht="15.75" customHeight="1" x14ac:dyDescent="0.2">
      <c r="B26" s="66">
        <v>17</v>
      </c>
      <c r="C26" s="30"/>
      <c r="D26" s="30"/>
      <c r="E26" s="30"/>
      <c r="F26" s="43"/>
      <c r="G26" s="43"/>
      <c r="H26" s="17"/>
      <c r="I26" s="67" t="str">
        <f>IF(H26&lt;&gt;"",H26*Supuestos!$C$11,"")</f>
        <v/>
      </c>
      <c r="J26" s="67" t="str">
        <f>IF(H26&lt;&gt;"",H26*Supuestos!$C$12*Supuestos!$C$13,"")</f>
        <v/>
      </c>
      <c r="K26" s="67" t="str">
        <f>IF(H26&lt;&gt;"",H26*Supuestos!$C$14,"")</f>
        <v/>
      </c>
      <c r="L26" s="68" t="str">
        <f t="shared" si="0"/>
        <v/>
      </c>
      <c r="M26" s="17"/>
      <c r="N26" s="68" t="str">
        <f t="shared" si="1"/>
        <v/>
      </c>
      <c r="O26" s="69" t="str">
        <f t="shared" ca="1" si="2"/>
        <v/>
      </c>
      <c r="P26" s="70" t="str">
        <f t="shared" ca="1" si="3"/>
        <v/>
      </c>
      <c r="Q26" s="71"/>
    </row>
    <row r="27" spans="2:17" ht="15.75" customHeight="1" x14ac:dyDescent="0.2">
      <c r="B27" s="72">
        <v>18</v>
      </c>
      <c r="C27" s="30"/>
      <c r="D27" s="30"/>
      <c r="E27" s="30"/>
      <c r="F27" s="43"/>
      <c r="G27" s="43"/>
      <c r="H27" s="17"/>
      <c r="I27" s="73" t="str">
        <f>IF(H27&lt;&gt;"",H27*Supuestos!$C$11,"")</f>
        <v/>
      </c>
      <c r="J27" s="73" t="str">
        <f>IF(H27&lt;&gt;"",H27*Supuestos!$C$12*Supuestos!$C$13,"")</f>
        <v/>
      </c>
      <c r="K27" s="73" t="str">
        <f>IF(H27&lt;&gt;"",H27*Supuestos!$C$14,"")</f>
        <v/>
      </c>
      <c r="L27" s="32" t="str">
        <f t="shared" si="0"/>
        <v/>
      </c>
      <c r="M27" s="17"/>
      <c r="N27" s="32" t="str">
        <f t="shared" si="1"/>
        <v/>
      </c>
      <c r="O27" s="74" t="str">
        <f t="shared" ca="1" si="2"/>
        <v/>
      </c>
      <c r="P27" s="75" t="str">
        <f t="shared" ca="1" si="3"/>
        <v/>
      </c>
      <c r="Q27" s="71"/>
    </row>
    <row r="28" spans="2:17" ht="15.75" customHeight="1" x14ac:dyDescent="0.2">
      <c r="B28" s="66">
        <v>19</v>
      </c>
      <c r="C28" s="30"/>
      <c r="D28" s="30"/>
      <c r="E28" s="30"/>
      <c r="F28" s="43"/>
      <c r="G28" s="43"/>
      <c r="H28" s="17"/>
      <c r="I28" s="67" t="str">
        <f>IF(H28&lt;&gt;"",H28*Supuestos!$C$11,"")</f>
        <v/>
      </c>
      <c r="J28" s="67" t="str">
        <f>IF(H28&lt;&gt;"",H28*Supuestos!$C$12*Supuestos!$C$13,"")</f>
        <v/>
      </c>
      <c r="K28" s="67" t="str">
        <f>IF(H28&lt;&gt;"",H28*Supuestos!$C$14,"")</f>
        <v/>
      </c>
      <c r="L28" s="68" t="str">
        <f t="shared" si="0"/>
        <v/>
      </c>
      <c r="M28" s="17"/>
      <c r="N28" s="68" t="str">
        <f t="shared" si="1"/>
        <v/>
      </c>
      <c r="O28" s="69" t="str">
        <f t="shared" ca="1" si="2"/>
        <v/>
      </c>
      <c r="P28" s="70" t="str">
        <f t="shared" ca="1" si="3"/>
        <v/>
      </c>
      <c r="Q28" s="71"/>
    </row>
    <row r="29" spans="2:17" ht="15.75" customHeight="1" x14ac:dyDescent="0.2">
      <c r="B29" s="72">
        <v>20</v>
      </c>
      <c r="C29" s="30"/>
      <c r="D29" s="30"/>
      <c r="E29" s="30"/>
      <c r="F29" s="43"/>
      <c r="G29" s="43"/>
      <c r="H29" s="17"/>
      <c r="I29" s="73" t="str">
        <f>IF(H29&lt;&gt;"",H29*Supuestos!$C$11,"")</f>
        <v/>
      </c>
      <c r="J29" s="73" t="str">
        <f>IF(H29&lt;&gt;"",H29*Supuestos!$C$12*Supuestos!$C$13,"")</f>
        <v/>
      </c>
      <c r="K29" s="73" t="str">
        <f>IF(H29&lt;&gt;"",H29*Supuestos!$C$14,"")</f>
        <v/>
      </c>
      <c r="L29" s="32" t="str">
        <f t="shared" si="0"/>
        <v/>
      </c>
      <c r="M29" s="17"/>
      <c r="N29" s="32" t="str">
        <f t="shared" si="1"/>
        <v/>
      </c>
      <c r="O29" s="74" t="str">
        <f t="shared" ca="1" si="2"/>
        <v/>
      </c>
      <c r="P29" s="75" t="str">
        <f t="shared" ca="1" si="3"/>
        <v/>
      </c>
      <c r="Q29" s="71"/>
    </row>
    <row r="30" spans="2:17" ht="15.75" customHeight="1" x14ac:dyDescent="0.2">
      <c r="B30" s="66">
        <v>21</v>
      </c>
      <c r="C30" s="30"/>
      <c r="D30" s="30"/>
      <c r="E30" s="30"/>
      <c r="F30" s="43"/>
      <c r="G30" s="43"/>
      <c r="H30" s="17"/>
      <c r="I30" s="67" t="str">
        <f>IF(H30&lt;&gt;"",H30*Supuestos!$C$11,"")</f>
        <v/>
      </c>
      <c r="J30" s="67" t="str">
        <f>IF(H30&lt;&gt;"",H30*Supuestos!$C$12*Supuestos!$C$13,"")</f>
        <v/>
      </c>
      <c r="K30" s="67" t="str">
        <f>IF(H30&lt;&gt;"",H30*Supuestos!$C$14,"")</f>
        <v/>
      </c>
      <c r="L30" s="68" t="str">
        <f t="shared" si="0"/>
        <v/>
      </c>
      <c r="M30" s="17"/>
      <c r="N30" s="68" t="str">
        <f t="shared" si="1"/>
        <v/>
      </c>
      <c r="O30" s="69" t="str">
        <f t="shared" ca="1" si="2"/>
        <v/>
      </c>
      <c r="P30" s="70" t="str">
        <f t="shared" ca="1" si="3"/>
        <v/>
      </c>
      <c r="Q30" s="71"/>
    </row>
    <row r="31" spans="2:17" ht="15.75" customHeight="1" x14ac:dyDescent="0.2">
      <c r="B31" s="72">
        <v>22</v>
      </c>
      <c r="C31" s="30"/>
      <c r="D31" s="30"/>
      <c r="E31" s="30"/>
      <c r="F31" s="43"/>
      <c r="G31" s="43"/>
      <c r="H31" s="17"/>
      <c r="I31" s="73" t="str">
        <f>IF(H31&lt;&gt;"",H31*Supuestos!$C$11,"")</f>
        <v/>
      </c>
      <c r="J31" s="73" t="str">
        <f>IF(H31&lt;&gt;"",H31*Supuestos!$C$12*Supuestos!$C$13,"")</f>
        <v/>
      </c>
      <c r="K31" s="73" t="str">
        <f>IF(H31&lt;&gt;"",H31*Supuestos!$C$14,"")</f>
        <v/>
      </c>
      <c r="L31" s="32" t="str">
        <f t="shared" si="0"/>
        <v/>
      </c>
      <c r="M31" s="17"/>
      <c r="N31" s="32" t="str">
        <f t="shared" si="1"/>
        <v/>
      </c>
      <c r="O31" s="74" t="str">
        <f t="shared" ca="1" si="2"/>
        <v/>
      </c>
      <c r="P31" s="75" t="str">
        <f t="shared" ca="1" si="3"/>
        <v/>
      </c>
      <c r="Q31" s="71"/>
    </row>
    <row r="32" spans="2:17" ht="15.75" customHeight="1" x14ac:dyDescent="0.2">
      <c r="B32" s="66">
        <v>23</v>
      </c>
      <c r="C32" s="30"/>
      <c r="D32" s="30"/>
      <c r="E32" s="30"/>
      <c r="F32" s="43"/>
      <c r="G32" s="43"/>
      <c r="H32" s="17"/>
      <c r="I32" s="67" t="str">
        <f>IF(H32&lt;&gt;"",H32*Supuestos!$C$11,"")</f>
        <v/>
      </c>
      <c r="J32" s="67" t="str">
        <f>IF(H32&lt;&gt;"",H32*Supuestos!$C$12*Supuestos!$C$13,"")</f>
        <v/>
      </c>
      <c r="K32" s="67" t="str">
        <f>IF(H32&lt;&gt;"",H32*Supuestos!$C$14,"")</f>
        <v/>
      </c>
      <c r="L32" s="68" t="str">
        <f t="shared" si="0"/>
        <v/>
      </c>
      <c r="M32" s="17"/>
      <c r="N32" s="68" t="str">
        <f t="shared" si="1"/>
        <v/>
      </c>
      <c r="O32" s="69" t="str">
        <f t="shared" ca="1" si="2"/>
        <v/>
      </c>
      <c r="P32" s="70" t="str">
        <f t="shared" ca="1" si="3"/>
        <v/>
      </c>
      <c r="Q32" s="71"/>
    </row>
    <row r="33" spans="2:17" ht="15.75" customHeight="1" x14ac:dyDescent="0.2">
      <c r="B33" s="72">
        <v>24</v>
      </c>
      <c r="C33" s="30"/>
      <c r="D33" s="30"/>
      <c r="E33" s="30"/>
      <c r="F33" s="43"/>
      <c r="G33" s="43"/>
      <c r="H33" s="17"/>
      <c r="I33" s="73" t="str">
        <f>IF(H33&lt;&gt;"",H33*Supuestos!$C$11,"")</f>
        <v/>
      </c>
      <c r="J33" s="73" t="str">
        <f>IF(H33&lt;&gt;"",H33*Supuestos!$C$12*Supuestos!$C$13,"")</f>
        <v/>
      </c>
      <c r="K33" s="73" t="str">
        <f>IF(H33&lt;&gt;"",H33*Supuestos!$C$14,"")</f>
        <v/>
      </c>
      <c r="L33" s="32" t="str">
        <f t="shared" si="0"/>
        <v/>
      </c>
      <c r="M33" s="17"/>
      <c r="N33" s="32" t="str">
        <f t="shared" si="1"/>
        <v/>
      </c>
      <c r="O33" s="74" t="str">
        <f t="shared" ca="1" si="2"/>
        <v/>
      </c>
      <c r="P33" s="75" t="str">
        <f t="shared" ca="1" si="3"/>
        <v/>
      </c>
      <c r="Q33" s="71"/>
    </row>
    <row r="34" spans="2:17" ht="15.75" customHeight="1" x14ac:dyDescent="0.2">
      <c r="B34" s="66">
        <v>25</v>
      </c>
      <c r="C34" s="30"/>
      <c r="D34" s="30"/>
      <c r="E34" s="30"/>
      <c r="F34" s="43"/>
      <c r="G34" s="43"/>
      <c r="H34" s="17"/>
      <c r="I34" s="67" t="str">
        <f>IF(H34&lt;&gt;"",H34*Supuestos!$C$11,"")</f>
        <v/>
      </c>
      <c r="J34" s="67" t="str">
        <f>IF(H34&lt;&gt;"",H34*Supuestos!$C$12*Supuestos!$C$13,"")</f>
        <v/>
      </c>
      <c r="K34" s="67" t="str">
        <f>IF(H34&lt;&gt;"",H34*Supuestos!$C$14,"")</f>
        <v/>
      </c>
      <c r="L34" s="68" t="str">
        <f t="shared" si="0"/>
        <v/>
      </c>
      <c r="M34" s="17"/>
      <c r="N34" s="68" t="str">
        <f t="shared" si="1"/>
        <v/>
      </c>
      <c r="O34" s="69" t="str">
        <f t="shared" ca="1" si="2"/>
        <v/>
      </c>
      <c r="P34" s="70" t="str">
        <f t="shared" ca="1" si="3"/>
        <v/>
      </c>
      <c r="Q34" s="71"/>
    </row>
    <row r="35" spans="2:17" ht="15.75" customHeight="1" x14ac:dyDescent="0.2">
      <c r="B35" s="72">
        <v>26</v>
      </c>
      <c r="C35" s="30"/>
      <c r="D35" s="30"/>
      <c r="E35" s="30"/>
      <c r="F35" s="43"/>
      <c r="G35" s="43"/>
      <c r="H35" s="17"/>
      <c r="I35" s="73" t="str">
        <f>IF(H35&lt;&gt;"",H35*Supuestos!$C$11,"")</f>
        <v/>
      </c>
      <c r="J35" s="73" t="str">
        <f>IF(H35&lt;&gt;"",H35*Supuestos!$C$12*Supuestos!$C$13,"")</f>
        <v/>
      </c>
      <c r="K35" s="73" t="str">
        <f>IF(H35&lt;&gt;"",H35*Supuestos!$C$14,"")</f>
        <v/>
      </c>
      <c r="L35" s="32" t="str">
        <f t="shared" si="0"/>
        <v/>
      </c>
      <c r="M35" s="17"/>
      <c r="N35" s="32" t="str">
        <f t="shared" si="1"/>
        <v/>
      </c>
      <c r="O35" s="74" t="str">
        <f t="shared" ca="1" si="2"/>
        <v/>
      </c>
      <c r="P35" s="75" t="str">
        <f t="shared" ca="1" si="3"/>
        <v/>
      </c>
      <c r="Q35" s="71"/>
    </row>
    <row r="36" spans="2:17" ht="15.75" customHeight="1" x14ac:dyDescent="0.2">
      <c r="B36" s="66">
        <v>27</v>
      </c>
      <c r="C36" s="30"/>
      <c r="D36" s="30"/>
      <c r="E36" s="30"/>
      <c r="F36" s="43"/>
      <c r="G36" s="43"/>
      <c r="H36" s="17"/>
      <c r="I36" s="67" t="str">
        <f>IF(H36&lt;&gt;"",H36*Supuestos!$C$11,"")</f>
        <v/>
      </c>
      <c r="J36" s="67" t="str">
        <f>IF(H36&lt;&gt;"",H36*Supuestos!$C$12*Supuestos!$C$13,"")</f>
        <v/>
      </c>
      <c r="K36" s="67" t="str">
        <f>IF(H36&lt;&gt;"",H36*Supuestos!$C$14,"")</f>
        <v/>
      </c>
      <c r="L36" s="68" t="str">
        <f t="shared" si="0"/>
        <v/>
      </c>
      <c r="M36" s="17"/>
      <c r="N36" s="68" t="str">
        <f t="shared" si="1"/>
        <v/>
      </c>
      <c r="O36" s="69" t="str">
        <f t="shared" ca="1" si="2"/>
        <v/>
      </c>
      <c r="P36" s="70" t="str">
        <f t="shared" ca="1" si="3"/>
        <v/>
      </c>
      <c r="Q36" s="71"/>
    </row>
    <row r="37" spans="2:17" ht="15.75" customHeight="1" x14ac:dyDescent="0.2">
      <c r="B37" s="72">
        <v>28</v>
      </c>
      <c r="C37" s="30"/>
      <c r="D37" s="30"/>
      <c r="E37" s="30"/>
      <c r="F37" s="43"/>
      <c r="G37" s="43"/>
      <c r="H37" s="17"/>
      <c r="I37" s="73" t="str">
        <f>IF(H37&lt;&gt;"",H37*Supuestos!$C$11,"")</f>
        <v/>
      </c>
      <c r="J37" s="73" t="str">
        <f>IF(H37&lt;&gt;"",H37*Supuestos!$C$12*Supuestos!$C$13,"")</f>
        <v/>
      </c>
      <c r="K37" s="73" t="str">
        <f>IF(H37&lt;&gt;"",H37*Supuestos!$C$14,"")</f>
        <v/>
      </c>
      <c r="L37" s="32" t="str">
        <f t="shared" si="0"/>
        <v/>
      </c>
      <c r="M37" s="17"/>
      <c r="N37" s="32" t="str">
        <f t="shared" si="1"/>
        <v/>
      </c>
      <c r="O37" s="74" t="str">
        <f t="shared" ca="1" si="2"/>
        <v/>
      </c>
      <c r="P37" s="75" t="str">
        <f t="shared" ca="1" si="3"/>
        <v/>
      </c>
      <c r="Q37" s="71"/>
    </row>
    <row r="38" spans="2:17" ht="15.75" customHeight="1" x14ac:dyDescent="0.2">
      <c r="B38" s="66">
        <v>29</v>
      </c>
      <c r="C38" s="30"/>
      <c r="D38" s="30"/>
      <c r="E38" s="30"/>
      <c r="F38" s="43"/>
      <c r="G38" s="43"/>
      <c r="H38" s="17"/>
      <c r="I38" s="67" t="str">
        <f>IF(H38&lt;&gt;"",H38*Supuestos!$C$11,"")</f>
        <v/>
      </c>
      <c r="J38" s="67" t="str">
        <f>IF(H38&lt;&gt;"",H38*Supuestos!$C$12*Supuestos!$C$13,"")</f>
        <v/>
      </c>
      <c r="K38" s="67" t="str">
        <f>IF(H38&lt;&gt;"",H38*Supuestos!$C$14,"")</f>
        <v/>
      </c>
      <c r="L38" s="68" t="str">
        <f t="shared" si="0"/>
        <v/>
      </c>
      <c r="M38" s="17"/>
      <c r="N38" s="68" t="str">
        <f t="shared" si="1"/>
        <v/>
      </c>
      <c r="O38" s="69" t="str">
        <f t="shared" ca="1" si="2"/>
        <v/>
      </c>
      <c r="P38" s="70" t="str">
        <f t="shared" ca="1" si="3"/>
        <v/>
      </c>
      <c r="Q38" s="71"/>
    </row>
    <row r="39" spans="2:17" ht="15.75" customHeight="1" x14ac:dyDescent="0.2">
      <c r="B39" s="72">
        <v>30</v>
      </c>
      <c r="C39" s="30"/>
      <c r="D39" s="30"/>
      <c r="E39" s="30"/>
      <c r="F39" s="43"/>
      <c r="G39" s="43"/>
      <c r="H39" s="17"/>
      <c r="I39" s="73" t="str">
        <f>IF(H39&lt;&gt;"",H39*Supuestos!$C$11,"")</f>
        <v/>
      </c>
      <c r="J39" s="73" t="str">
        <f>IF(H39&lt;&gt;"",H39*Supuestos!$C$12*Supuestos!$C$13,"")</f>
        <v/>
      </c>
      <c r="K39" s="73" t="str">
        <f>IF(H39&lt;&gt;"",H39*Supuestos!$C$14,"")</f>
        <v/>
      </c>
      <c r="L39" s="32" t="str">
        <f t="shared" si="0"/>
        <v/>
      </c>
      <c r="M39" s="17"/>
      <c r="N39" s="32" t="str">
        <f t="shared" si="1"/>
        <v/>
      </c>
      <c r="O39" s="74" t="str">
        <f t="shared" ca="1" si="2"/>
        <v/>
      </c>
      <c r="P39" s="75" t="str">
        <f t="shared" ca="1" si="3"/>
        <v/>
      </c>
      <c r="Q39" s="71"/>
    </row>
    <row r="40" spans="2:17" ht="15.75" customHeight="1" x14ac:dyDescent="0.2">
      <c r="B40" s="66">
        <v>31</v>
      </c>
      <c r="C40" s="30"/>
      <c r="D40" s="30"/>
      <c r="E40" s="30"/>
      <c r="F40" s="43"/>
      <c r="G40" s="43"/>
      <c r="H40" s="17"/>
      <c r="I40" s="67" t="str">
        <f>IF(H40&lt;&gt;"",H40*Supuestos!$C$11,"")</f>
        <v/>
      </c>
      <c r="J40" s="67" t="str">
        <f>IF(H40&lt;&gt;"",H40*Supuestos!$C$12*Supuestos!$C$13,"")</f>
        <v/>
      </c>
      <c r="K40" s="67" t="str">
        <f>IF(H40&lt;&gt;"",H40*Supuestos!$C$14,"")</f>
        <v/>
      </c>
      <c r="L40" s="68" t="str">
        <f t="shared" si="0"/>
        <v/>
      </c>
      <c r="M40" s="17"/>
      <c r="N40" s="68" t="str">
        <f t="shared" si="1"/>
        <v/>
      </c>
      <c r="O40" s="69" t="str">
        <f t="shared" ca="1" si="2"/>
        <v/>
      </c>
      <c r="P40" s="70" t="str">
        <f t="shared" ca="1" si="3"/>
        <v/>
      </c>
      <c r="Q40" s="71"/>
    </row>
    <row r="41" spans="2:17" ht="15.75" customHeight="1" x14ac:dyDescent="0.2">
      <c r="B41" s="72">
        <v>32</v>
      </c>
      <c r="C41" s="30"/>
      <c r="D41" s="30"/>
      <c r="E41" s="30"/>
      <c r="F41" s="43"/>
      <c r="G41" s="43"/>
      <c r="H41" s="17"/>
      <c r="I41" s="73" t="str">
        <f>IF(H41&lt;&gt;"",H41*Supuestos!$C$11,"")</f>
        <v/>
      </c>
      <c r="J41" s="73" t="str">
        <f>IF(H41&lt;&gt;"",H41*Supuestos!$C$12*Supuestos!$C$13,"")</f>
        <v/>
      </c>
      <c r="K41" s="73" t="str">
        <f>IF(H41&lt;&gt;"",H41*Supuestos!$C$14,"")</f>
        <v/>
      </c>
      <c r="L41" s="32" t="str">
        <f t="shared" si="0"/>
        <v/>
      </c>
      <c r="M41" s="17"/>
      <c r="N41" s="32" t="str">
        <f t="shared" si="1"/>
        <v/>
      </c>
      <c r="O41" s="74" t="str">
        <f t="shared" ca="1" si="2"/>
        <v/>
      </c>
      <c r="P41" s="75" t="str">
        <f t="shared" ca="1" si="3"/>
        <v/>
      </c>
      <c r="Q41" s="71"/>
    </row>
    <row r="42" spans="2:17" ht="15.75" customHeight="1" x14ac:dyDescent="0.2">
      <c r="B42" s="66">
        <v>33</v>
      </c>
      <c r="C42" s="30"/>
      <c r="D42" s="30"/>
      <c r="E42" s="30"/>
      <c r="F42" s="43"/>
      <c r="G42" s="43"/>
      <c r="H42" s="17"/>
      <c r="I42" s="67" t="str">
        <f>IF(H42&lt;&gt;"",H42*Supuestos!$C$11,"")</f>
        <v/>
      </c>
      <c r="J42" s="67" t="str">
        <f>IF(H42&lt;&gt;"",H42*Supuestos!$C$12*Supuestos!$C$13,"")</f>
        <v/>
      </c>
      <c r="K42" s="67" t="str">
        <f>IF(H42&lt;&gt;"",H42*Supuestos!$C$14,"")</f>
        <v/>
      </c>
      <c r="L42" s="68" t="str">
        <f t="shared" ref="L42:L73" si="4">IF(H42&lt;&gt;"",H42+I42-J42-K42,"")</f>
        <v/>
      </c>
      <c r="M42" s="17"/>
      <c r="N42" s="68" t="str">
        <f t="shared" ref="N42:N73" si="5">IF(H42&lt;&gt;"",IF(M42&lt;&gt;"",L42-M42,L42),"")</f>
        <v/>
      </c>
      <c r="O42" s="69" t="str">
        <f t="shared" ref="O42:O73" ca="1" si="6">IF(AND(H42&lt;&gt;"",N42&gt;0,G42&lt;&gt;""),MAX(TODAY()-G42,0),"")</f>
        <v/>
      </c>
      <c r="P42" s="70" t="str">
        <f t="shared" ref="P42:P73" ca="1" si="7">IF(H42="","",IF(N42&lt;=0,"COBRADA",IF(G42="","VIGENTE",IF(TODAY()&lt;=G42,"VIGENTE",IF(TODAY()-G42&lt;=30,"VENCIDA",IF(TODAY()-G42&lt;=90,"CRÍTICA","CASTIGAR"))))))</f>
        <v/>
      </c>
      <c r="Q42" s="71"/>
    </row>
    <row r="43" spans="2:17" ht="15.75" customHeight="1" x14ac:dyDescent="0.2">
      <c r="B43" s="72">
        <v>34</v>
      </c>
      <c r="C43" s="30"/>
      <c r="D43" s="30"/>
      <c r="E43" s="30"/>
      <c r="F43" s="43"/>
      <c r="G43" s="43"/>
      <c r="H43" s="17"/>
      <c r="I43" s="73" t="str">
        <f>IF(H43&lt;&gt;"",H43*Supuestos!$C$11,"")</f>
        <v/>
      </c>
      <c r="J43" s="73" t="str">
        <f>IF(H43&lt;&gt;"",H43*Supuestos!$C$12*Supuestos!$C$13,"")</f>
        <v/>
      </c>
      <c r="K43" s="73" t="str">
        <f>IF(H43&lt;&gt;"",H43*Supuestos!$C$14,"")</f>
        <v/>
      </c>
      <c r="L43" s="32" t="str">
        <f t="shared" si="4"/>
        <v/>
      </c>
      <c r="M43" s="17"/>
      <c r="N43" s="32" t="str">
        <f t="shared" si="5"/>
        <v/>
      </c>
      <c r="O43" s="74" t="str">
        <f t="shared" ca="1" si="6"/>
        <v/>
      </c>
      <c r="P43" s="75" t="str">
        <f t="shared" ca="1" si="7"/>
        <v/>
      </c>
      <c r="Q43" s="71"/>
    </row>
    <row r="44" spans="2:17" ht="15.75" customHeight="1" x14ac:dyDescent="0.2">
      <c r="B44" s="66">
        <v>35</v>
      </c>
      <c r="C44" s="30"/>
      <c r="D44" s="30"/>
      <c r="E44" s="30"/>
      <c r="F44" s="43"/>
      <c r="G44" s="43"/>
      <c r="H44" s="17"/>
      <c r="I44" s="67" t="str">
        <f>IF(H44&lt;&gt;"",H44*Supuestos!$C$11,"")</f>
        <v/>
      </c>
      <c r="J44" s="67" t="str">
        <f>IF(H44&lt;&gt;"",H44*Supuestos!$C$12*Supuestos!$C$13,"")</f>
        <v/>
      </c>
      <c r="K44" s="67" t="str">
        <f>IF(H44&lt;&gt;"",H44*Supuestos!$C$14,"")</f>
        <v/>
      </c>
      <c r="L44" s="68" t="str">
        <f t="shared" si="4"/>
        <v/>
      </c>
      <c r="M44" s="17"/>
      <c r="N44" s="68" t="str">
        <f t="shared" si="5"/>
        <v/>
      </c>
      <c r="O44" s="69" t="str">
        <f t="shared" ca="1" si="6"/>
        <v/>
      </c>
      <c r="P44" s="70" t="str">
        <f t="shared" ca="1" si="7"/>
        <v/>
      </c>
      <c r="Q44" s="71"/>
    </row>
    <row r="45" spans="2:17" ht="15.75" customHeight="1" x14ac:dyDescent="0.2">
      <c r="B45" s="72">
        <v>36</v>
      </c>
      <c r="C45" s="30"/>
      <c r="D45" s="30"/>
      <c r="E45" s="30"/>
      <c r="F45" s="43"/>
      <c r="G45" s="43"/>
      <c r="H45" s="17"/>
      <c r="I45" s="73" t="str">
        <f>IF(H45&lt;&gt;"",H45*Supuestos!$C$11,"")</f>
        <v/>
      </c>
      <c r="J45" s="73" t="str">
        <f>IF(H45&lt;&gt;"",H45*Supuestos!$C$12*Supuestos!$C$13,"")</f>
        <v/>
      </c>
      <c r="K45" s="73" t="str">
        <f>IF(H45&lt;&gt;"",H45*Supuestos!$C$14,"")</f>
        <v/>
      </c>
      <c r="L45" s="32" t="str">
        <f t="shared" si="4"/>
        <v/>
      </c>
      <c r="M45" s="17"/>
      <c r="N45" s="32" t="str">
        <f t="shared" si="5"/>
        <v/>
      </c>
      <c r="O45" s="74" t="str">
        <f t="shared" ca="1" si="6"/>
        <v/>
      </c>
      <c r="P45" s="75" t="str">
        <f t="shared" ca="1" si="7"/>
        <v/>
      </c>
      <c r="Q45" s="71"/>
    </row>
    <row r="46" spans="2:17" ht="15.75" customHeight="1" x14ac:dyDescent="0.2">
      <c r="B46" s="66">
        <v>37</v>
      </c>
      <c r="C46" s="30"/>
      <c r="D46" s="30"/>
      <c r="E46" s="30"/>
      <c r="F46" s="43"/>
      <c r="G46" s="43"/>
      <c r="H46" s="17"/>
      <c r="I46" s="67" t="str">
        <f>IF(H46&lt;&gt;"",H46*Supuestos!$C$11,"")</f>
        <v/>
      </c>
      <c r="J46" s="67" t="str">
        <f>IF(H46&lt;&gt;"",H46*Supuestos!$C$12*Supuestos!$C$13,"")</f>
        <v/>
      </c>
      <c r="K46" s="67" t="str">
        <f>IF(H46&lt;&gt;"",H46*Supuestos!$C$14,"")</f>
        <v/>
      </c>
      <c r="L46" s="68" t="str">
        <f t="shared" si="4"/>
        <v/>
      </c>
      <c r="M46" s="17"/>
      <c r="N46" s="68" t="str">
        <f t="shared" si="5"/>
        <v/>
      </c>
      <c r="O46" s="69" t="str">
        <f t="shared" ca="1" si="6"/>
        <v/>
      </c>
      <c r="P46" s="70" t="str">
        <f t="shared" ca="1" si="7"/>
        <v/>
      </c>
      <c r="Q46" s="71"/>
    </row>
    <row r="47" spans="2:17" ht="15.75" customHeight="1" x14ac:dyDescent="0.2">
      <c r="B47" s="72">
        <v>38</v>
      </c>
      <c r="C47" s="30"/>
      <c r="D47" s="30"/>
      <c r="E47" s="30"/>
      <c r="F47" s="43"/>
      <c r="G47" s="43"/>
      <c r="H47" s="17"/>
      <c r="I47" s="73" t="str">
        <f>IF(H47&lt;&gt;"",H47*Supuestos!$C$11,"")</f>
        <v/>
      </c>
      <c r="J47" s="73" t="str">
        <f>IF(H47&lt;&gt;"",H47*Supuestos!$C$12*Supuestos!$C$13,"")</f>
        <v/>
      </c>
      <c r="K47" s="73" t="str">
        <f>IF(H47&lt;&gt;"",H47*Supuestos!$C$14,"")</f>
        <v/>
      </c>
      <c r="L47" s="32" t="str">
        <f t="shared" si="4"/>
        <v/>
      </c>
      <c r="M47" s="17"/>
      <c r="N47" s="32" t="str">
        <f t="shared" si="5"/>
        <v/>
      </c>
      <c r="O47" s="74" t="str">
        <f t="shared" ca="1" si="6"/>
        <v/>
      </c>
      <c r="P47" s="75" t="str">
        <f t="shared" ca="1" si="7"/>
        <v/>
      </c>
      <c r="Q47" s="71"/>
    </row>
    <row r="48" spans="2:17" ht="15.75" customHeight="1" x14ac:dyDescent="0.2">
      <c r="B48" s="66">
        <v>39</v>
      </c>
      <c r="C48" s="30"/>
      <c r="D48" s="30"/>
      <c r="E48" s="30"/>
      <c r="F48" s="43"/>
      <c r="G48" s="43"/>
      <c r="H48" s="17"/>
      <c r="I48" s="67" t="str">
        <f>IF(H48&lt;&gt;"",H48*Supuestos!$C$11,"")</f>
        <v/>
      </c>
      <c r="J48" s="67" t="str">
        <f>IF(H48&lt;&gt;"",H48*Supuestos!$C$12*Supuestos!$C$13,"")</f>
        <v/>
      </c>
      <c r="K48" s="67" t="str">
        <f>IF(H48&lt;&gt;"",H48*Supuestos!$C$14,"")</f>
        <v/>
      </c>
      <c r="L48" s="68" t="str">
        <f t="shared" si="4"/>
        <v/>
      </c>
      <c r="M48" s="17"/>
      <c r="N48" s="68" t="str">
        <f t="shared" si="5"/>
        <v/>
      </c>
      <c r="O48" s="69" t="str">
        <f t="shared" ca="1" si="6"/>
        <v/>
      </c>
      <c r="P48" s="70" t="str">
        <f t="shared" ca="1" si="7"/>
        <v/>
      </c>
      <c r="Q48" s="71"/>
    </row>
    <row r="49" spans="2:17" ht="15.75" customHeight="1" x14ac:dyDescent="0.2">
      <c r="B49" s="72">
        <v>40</v>
      </c>
      <c r="C49" s="30"/>
      <c r="D49" s="30"/>
      <c r="E49" s="30"/>
      <c r="F49" s="43"/>
      <c r="G49" s="43"/>
      <c r="H49" s="17"/>
      <c r="I49" s="73" t="str">
        <f>IF(H49&lt;&gt;"",H49*Supuestos!$C$11,"")</f>
        <v/>
      </c>
      <c r="J49" s="73" t="str">
        <f>IF(H49&lt;&gt;"",H49*Supuestos!$C$12*Supuestos!$C$13,"")</f>
        <v/>
      </c>
      <c r="K49" s="73" t="str">
        <f>IF(H49&lt;&gt;"",H49*Supuestos!$C$14,"")</f>
        <v/>
      </c>
      <c r="L49" s="32" t="str">
        <f t="shared" si="4"/>
        <v/>
      </c>
      <c r="M49" s="17"/>
      <c r="N49" s="32" t="str">
        <f t="shared" si="5"/>
        <v/>
      </c>
      <c r="O49" s="74" t="str">
        <f t="shared" ca="1" si="6"/>
        <v/>
      </c>
      <c r="P49" s="75" t="str">
        <f t="shared" ca="1" si="7"/>
        <v/>
      </c>
      <c r="Q49" s="71"/>
    </row>
    <row r="50" spans="2:17" ht="15.75" customHeight="1" x14ac:dyDescent="0.2">
      <c r="B50" s="66">
        <v>41</v>
      </c>
      <c r="C50" s="30"/>
      <c r="D50" s="30"/>
      <c r="E50" s="30"/>
      <c r="F50" s="43"/>
      <c r="G50" s="43"/>
      <c r="H50" s="17"/>
      <c r="I50" s="67" t="str">
        <f>IF(H50&lt;&gt;"",H50*Supuestos!$C$11,"")</f>
        <v/>
      </c>
      <c r="J50" s="67" t="str">
        <f>IF(H50&lt;&gt;"",H50*Supuestos!$C$12*Supuestos!$C$13,"")</f>
        <v/>
      </c>
      <c r="K50" s="67" t="str">
        <f>IF(H50&lt;&gt;"",H50*Supuestos!$C$14,"")</f>
        <v/>
      </c>
      <c r="L50" s="68" t="str">
        <f t="shared" si="4"/>
        <v/>
      </c>
      <c r="M50" s="17"/>
      <c r="N50" s="68" t="str">
        <f t="shared" si="5"/>
        <v/>
      </c>
      <c r="O50" s="69" t="str">
        <f t="shared" ca="1" si="6"/>
        <v/>
      </c>
      <c r="P50" s="70" t="str">
        <f t="shared" ca="1" si="7"/>
        <v/>
      </c>
      <c r="Q50" s="71"/>
    </row>
    <row r="51" spans="2:17" ht="15.75" customHeight="1" x14ac:dyDescent="0.2">
      <c r="B51" s="72">
        <v>42</v>
      </c>
      <c r="C51" s="30"/>
      <c r="D51" s="30"/>
      <c r="E51" s="30"/>
      <c r="F51" s="43"/>
      <c r="G51" s="43"/>
      <c r="H51" s="17"/>
      <c r="I51" s="73" t="str">
        <f>IF(H51&lt;&gt;"",H51*Supuestos!$C$11,"")</f>
        <v/>
      </c>
      <c r="J51" s="73" t="str">
        <f>IF(H51&lt;&gt;"",H51*Supuestos!$C$12*Supuestos!$C$13,"")</f>
        <v/>
      </c>
      <c r="K51" s="73" t="str">
        <f>IF(H51&lt;&gt;"",H51*Supuestos!$C$14,"")</f>
        <v/>
      </c>
      <c r="L51" s="32" t="str">
        <f t="shared" si="4"/>
        <v/>
      </c>
      <c r="M51" s="17"/>
      <c r="N51" s="32" t="str">
        <f t="shared" si="5"/>
        <v/>
      </c>
      <c r="O51" s="74" t="str">
        <f t="shared" ca="1" si="6"/>
        <v/>
      </c>
      <c r="P51" s="75" t="str">
        <f t="shared" ca="1" si="7"/>
        <v/>
      </c>
      <c r="Q51" s="71"/>
    </row>
    <row r="52" spans="2:17" ht="15.75" customHeight="1" x14ac:dyDescent="0.2">
      <c r="B52" s="66">
        <v>43</v>
      </c>
      <c r="C52" s="30"/>
      <c r="D52" s="30"/>
      <c r="E52" s="30"/>
      <c r="F52" s="43"/>
      <c r="G52" s="43"/>
      <c r="H52" s="17"/>
      <c r="I52" s="67" t="str">
        <f>IF(H52&lt;&gt;"",H52*Supuestos!$C$11,"")</f>
        <v/>
      </c>
      <c r="J52" s="67" t="str">
        <f>IF(H52&lt;&gt;"",H52*Supuestos!$C$12*Supuestos!$C$13,"")</f>
        <v/>
      </c>
      <c r="K52" s="67" t="str">
        <f>IF(H52&lt;&gt;"",H52*Supuestos!$C$14,"")</f>
        <v/>
      </c>
      <c r="L52" s="68" t="str">
        <f t="shared" si="4"/>
        <v/>
      </c>
      <c r="M52" s="17"/>
      <c r="N52" s="68" t="str">
        <f t="shared" si="5"/>
        <v/>
      </c>
      <c r="O52" s="69" t="str">
        <f t="shared" ca="1" si="6"/>
        <v/>
      </c>
      <c r="P52" s="70" t="str">
        <f t="shared" ca="1" si="7"/>
        <v/>
      </c>
      <c r="Q52" s="71"/>
    </row>
    <row r="53" spans="2:17" ht="15.75" customHeight="1" x14ac:dyDescent="0.2">
      <c r="B53" s="72">
        <v>44</v>
      </c>
      <c r="C53" s="30"/>
      <c r="D53" s="30"/>
      <c r="E53" s="30"/>
      <c r="F53" s="43"/>
      <c r="G53" s="43"/>
      <c r="H53" s="17"/>
      <c r="I53" s="73" t="str">
        <f>IF(H53&lt;&gt;"",H53*Supuestos!$C$11,"")</f>
        <v/>
      </c>
      <c r="J53" s="73" t="str">
        <f>IF(H53&lt;&gt;"",H53*Supuestos!$C$12*Supuestos!$C$13,"")</f>
        <v/>
      </c>
      <c r="K53" s="73" t="str">
        <f>IF(H53&lt;&gt;"",H53*Supuestos!$C$14,"")</f>
        <v/>
      </c>
      <c r="L53" s="32" t="str">
        <f t="shared" si="4"/>
        <v/>
      </c>
      <c r="M53" s="17"/>
      <c r="N53" s="32" t="str">
        <f t="shared" si="5"/>
        <v/>
      </c>
      <c r="O53" s="74" t="str">
        <f t="shared" ca="1" si="6"/>
        <v/>
      </c>
      <c r="P53" s="75" t="str">
        <f t="shared" ca="1" si="7"/>
        <v/>
      </c>
      <c r="Q53" s="71"/>
    </row>
    <row r="54" spans="2:17" ht="15.75" customHeight="1" x14ac:dyDescent="0.2">
      <c r="B54" s="66">
        <v>45</v>
      </c>
      <c r="C54" s="30"/>
      <c r="D54" s="30"/>
      <c r="E54" s="30"/>
      <c r="F54" s="43"/>
      <c r="G54" s="43"/>
      <c r="H54" s="17"/>
      <c r="I54" s="67" t="str">
        <f>IF(H54&lt;&gt;"",H54*Supuestos!$C$11,"")</f>
        <v/>
      </c>
      <c r="J54" s="67" t="str">
        <f>IF(H54&lt;&gt;"",H54*Supuestos!$C$12*Supuestos!$C$13,"")</f>
        <v/>
      </c>
      <c r="K54" s="67" t="str">
        <f>IF(H54&lt;&gt;"",H54*Supuestos!$C$14,"")</f>
        <v/>
      </c>
      <c r="L54" s="68" t="str">
        <f t="shared" si="4"/>
        <v/>
      </c>
      <c r="M54" s="17"/>
      <c r="N54" s="68" t="str">
        <f t="shared" si="5"/>
        <v/>
      </c>
      <c r="O54" s="69" t="str">
        <f t="shared" ca="1" si="6"/>
        <v/>
      </c>
      <c r="P54" s="70" t="str">
        <f t="shared" ca="1" si="7"/>
        <v/>
      </c>
      <c r="Q54" s="71"/>
    </row>
    <row r="55" spans="2:17" ht="15.75" customHeight="1" x14ac:dyDescent="0.2">
      <c r="B55" s="72">
        <v>46</v>
      </c>
      <c r="C55" s="30"/>
      <c r="D55" s="30"/>
      <c r="E55" s="30"/>
      <c r="F55" s="43"/>
      <c r="G55" s="43"/>
      <c r="H55" s="17"/>
      <c r="I55" s="73" t="str">
        <f>IF(H55&lt;&gt;"",H55*Supuestos!$C$11,"")</f>
        <v/>
      </c>
      <c r="J55" s="73" t="str">
        <f>IF(H55&lt;&gt;"",H55*Supuestos!$C$12*Supuestos!$C$13,"")</f>
        <v/>
      </c>
      <c r="K55" s="73" t="str">
        <f>IF(H55&lt;&gt;"",H55*Supuestos!$C$14,"")</f>
        <v/>
      </c>
      <c r="L55" s="32" t="str">
        <f t="shared" si="4"/>
        <v/>
      </c>
      <c r="M55" s="17"/>
      <c r="N55" s="32" t="str">
        <f t="shared" si="5"/>
        <v/>
      </c>
      <c r="O55" s="74" t="str">
        <f t="shared" ca="1" si="6"/>
        <v/>
      </c>
      <c r="P55" s="75" t="str">
        <f t="shared" ca="1" si="7"/>
        <v/>
      </c>
      <c r="Q55" s="71"/>
    </row>
    <row r="56" spans="2:17" ht="15.75" customHeight="1" x14ac:dyDescent="0.2">
      <c r="B56" s="66">
        <v>47</v>
      </c>
      <c r="C56" s="30"/>
      <c r="D56" s="30"/>
      <c r="E56" s="30"/>
      <c r="F56" s="43"/>
      <c r="G56" s="43"/>
      <c r="H56" s="17"/>
      <c r="I56" s="67" t="str">
        <f>IF(H56&lt;&gt;"",H56*Supuestos!$C$11,"")</f>
        <v/>
      </c>
      <c r="J56" s="67" t="str">
        <f>IF(H56&lt;&gt;"",H56*Supuestos!$C$12*Supuestos!$C$13,"")</f>
        <v/>
      </c>
      <c r="K56" s="67" t="str">
        <f>IF(H56&lt;&gt;"",H56*Supuestos!$C$14,"")</f>
        <v/>
      </c>
      <c r="L56" s="68" t="str">
        <f t="shared" si="4"/>
        <v/>
      </c>
      <c r="M56" s="17"/>
      <c r="N56" s="68" t="str">
        <f t="shared" si="5"/>
        <v/>
      </c>
      <c r="O56" s="69" t="str">
        <f t="shared" ca="1" si="6"/>
        <v/>
      </c>
      <c r="P56" s="70" t="str">
        <f t="shared" ca="1" si="7"/>
        <v/>
      </c>
      <c r="Q56" s="71"/>
    </row>
    <row r="57" spans="2:17" ht="15.75" customHeight="1" x14ac:dyDescent="0.2">
      <c r="B57" s="72">
        <v>48</v>
      </c>
      <c r="C57" s="30"/>
      <c r="D57" s="30"/>
      <c r="E57" s="30"/>
      <c r="F57" s="43"/>
      <c r="G57" s="43"/>
      <c r="H57" s="17"/>
      <c r="I57" s="73" t="str">
        <f>IF(H57&lt;&gt;"",H57*Supuestos!$C$11,"")</f>
        <v/>
      </c>
      <c r="J57" s="73" t="str">
        <f>IF(H57&lt;&gt;"",H57*Supuestos!$C$12*Supuestos!$C$13,"")</f>
        <v/>
      </c>
      <c r="K57" s="73" t="str">
        <f>IF(H57&lt;&gt;"",H57*Supuestos!$C$14,"")</f>
        <v/>
      </c>
      <c r="L57" s="32" t="str">
        <f t="shared" si="4"/>
        <v/>
      </c>
      <c r="M57" s="17"/>
      <c r="N57" s="32" t="str">
        <f t="shared" si="5"/>
        <v/>
      </c>
      <c r="O57" s="74" t="str">
        <f t="shared" ca="1" si="6"/>
        <v/>
      </c>
      <c r="P57" s="75" t="str">
        <f t="shared" ca="1" si="7"/>
        <v/>
      </c>
      <c r="Q57" s="71"/>
    </row>
    <row r="58" spans="2:17" ht="15.75" customHeight="1" x14ac:dyDescent="0.2">
      <c r="B58" s="66">
        <v>49</v>
      </c>
      <c r="C58" s="30"/>
      <c r="D58" s="30"/>
      <c r="E58" s="30"/>
      <c r="F58" s="43"/>
      <c r="G58" s="43"/>
      <c r="H58" s="17"/>
      <c r="I58" s="67" t="str">
        <f>IF(H58&lt;&gt;"",H58*Supuestos!$C$11,"")</f>
        <v/>
      </c>
      <c r="J58" s="67" t="str">
        <f>IF(H58&lt;&gt;"",H58*Supuestos!$C$12*Supuestos!$C$13,"")</f>
        <v/>
      </c>
      <c r="K58" s="67" t="str">
        <f>IF(H58&lt;&gt;"",H58*Supuestos!$C$14,"")</f>
        <v/>
      </c>
      <c r="L58" s="68" t="str">
        <f t="shared" si="4"/>
        <v/>
      </c>
      <c r="M58" s="17"/>
      <c r="N58" s="68" t="str">
        <f t="shared" si="5"/>
        <v/>
      </c>
      <c r="O58" s="69" t="str">
        <f t="shared" ca="1" si="6"/>
        <v/>
      </c>
      <c r="P58" s="70" t="str">
        <f t="shared" ca="1" si="7"/>
        <v/>
      </c>
      <c r="Q58" s="71"/>
    </row>
    <row r="59" spans="2:17" ht="15.75" customHeight="1" x14ac:dyDescent="0.2">
      <c r="B59" s="72">
        <v>50</v>
      </c>
      <c r="C59" s="30"/>
      <c r="D59" s="30"/>
      <c r="E59" s="30"/>
      <c r="F59" s="43"/>
      <c r="G59" s="43"/>
      <c r="H59" s="17"/>
      <c r="I59" s="73" t="str">
        <f>IF(H59&lt;&gt;"",H59*Supuestos!$C$11,"")</f>
        <v/>
      </c>
      <c r="J59" s="73" t="str">
        <f>IF(H59&lt;&gt;"",H59*Supuestos!$C$12*Supuestos!$C$13,"")</f>
        <v/>
      </c>
      <c r="K59" s="73" t="str">
        <f>IF(H59&lt;&gt;"",H59*Supuestos!$C$14,"")</f>
        <v/>
      </c>
      <c r="L59" s="32" t="str">
        <f t="shared" si="4"/>
        <v/>
      </c>
      <c r="M59" s="17"/>
      <c r="N59" s="32" t="str">
        <f t="shared" si="5"/>
        <v/>
      </c>
      <c r="O59" s="74" t="str">
        <f t="shared" ca="1" si="6"/>
        <v/>
      </c>
      <c r="P59" s="75" t="str">
        <f t="shared" ca="1" si="7"/>
        <v/>
      </c>
      <c r="Q59" s="71"/>
    </row>
    <row r="60" spans="2:17" ht="15.75" customHeight="1" x14ac:dyDescent="0.2">
      <c r="B60" s="66">
        <v>51</v>
      </c>
      <c r="C60" s="30"/>
      <c r="D60" s="30"/>
      <c r="E60" s="30"/>
      <c r="F60" s="43"/>
      <c r="G60" s="43"/>
      <c r="H60" s="17"/>
      <c r="I60" s="67" t="str">
        <f>IF(H60&lt;&gt;"",H60*Supuestos!$C$11,"")</f>
        <v/>
      </c>
      <c r="J60" s="67" t="str">
        <f>IF(H60&lt;&gt;"",H60*Supuestos!$C$12*Supuestos!$C$13,"")</f>
        <v/>
      </c>
      <c r="K60" s="67" t="str">
        <f>IF(H60&lt;&gt;"",H60*Supuestos!$C$14,"")</f>
        <v/>
      </c>
      <c r="L60" s="68" t="str">
        <f t="shared" si="4"/>
        <v/>
      </c>
      <c r="M60" s="17"/>
      <c r="N60" s="68" t="str">
        <f t="shared" si="5"/>
        <v/>
      </c>
      <c r="O60" s="69" t="str">
        <f t="shared" ca="1" si="6"/>
        <v/>
      </c>
      <c r="P60" s="70" t="str">
        <f t="shared" ca="1" si="7"/>
        <v/>
      </c>
      <c r="Q60" s="71"/>
    </row>
    <row r="61" spans="2:17" ht="15.75" customHeight="1" x14ac:dyDescent="0.2">
      <c r="B61" s="72">
        <v>52</v>
      </c>
      <c r="C61" s="30"/>
      <c r="D61" s="30"/>
      <c r="E61" s="30"/>
      <c r="F61" s="43"/>
      <c r="G61" s="43"/>
      <c r="H61" s="17"/>
      <c r="I61" s="73" t="str">
        <f>IF(H61&lt;&gt;"",H61*Supuestos!$C$11,"")</f>
        <v/>
      </c>
      <c r="J61" s="73" t="str">
        <f>IF(H61&lt;&gt;"",H61*Supuestos!$C$12*Supuestos!$C$13,"")</f>
        <v/>
      </c>
      <c r="K61" s="73" t="str">
        <f>IF(H61&lt;&gt;"",H61*Supuestos!$C$14,"")</f>
        <v/>
      </c>
      <c r="L61" s="32" t="str">
        <f t="shared" si="4"/>
        <v/>
      </c>
      <c r="M61" s="17"/>
      <c r="N61" s="32" t="str">
        <f t="shared" si="5"/>
        <v/>
      </c>
      <c r="O61" s="74" t="str">
        <f t="shared" ca="1" si="6"/>
        <v/>
      </c>
      <c r="P61" s="75" t="str">
        <f t="shared" ca="1" si="7"/>
        <v/>
      </c>
      <c r="Q61" s="71"/>
    </row>
    <row r="62" spans="2:17" ht="15.75" customHeight="1" x14ac:dyDescent="0.2">
      <c r="B62" s="66">
        <v>53</v>
      </c>
      <c r="C62" s="30"/>
      <c r="D62" s="30"/>
      <c r="E62" s="30"/>
      <c r="F62" s="43"/>
      <c r="G62" s="43"/>
      <c r="H62" s="17"/>
      <c r="I62" s="67" t="str">
        <f>IF(H62&lt;&gt;"",H62*Supuestos!$C$11,"")</f>
        <v/>
      </c>
      <c r="J62" s="67" t="str">
        <f>IF(H62&lt;&gt;"",H62*Supuestos!$C$12*Supuestos!$C$13,"")</f>
        <v/>
      </c>
      <c r="K62" s="67" t="str">
        <f>IF(H62&lt;&gt;"",H62*Supuestos!$C$14,"")</f>
        <v/>
      </c>
      <c r="L62" s="68" t="str">
        <f t="shared" si="4"/>
        <v/>
      </c>
      <c r="M62" s="17"/>
      <c r="N62" s="68" t="str">
        <f t="shared" si="5"/>
        <v/>
      </c>
      <c r="O62" s="69" t="str">
        <f t="shared" ca="1" si="6"/>
        <v/>
      </c>
      <c r="P62" s="70" t="str">
        <f t="shared" ca="1" si="7"/>
        <v/>
      </c>
      <c r="Q62" s="71"/>
    </row>
    <row r="63" spans="2:17" ht="15.75" customHeight="1" x14ac:dyDescent="0.2">
      <c r="B63" s="72">
        <v>54</v>
      </c>
      <c r="C63" s="30"/>
      <c r="D63" s="30"/>
      <c r="E63" s="30"/>
      <c r="F63" s="43"/>
      <c r="G63" s="43"/>
      <c r="H63" s="17"/>
      <c r="I63" s="73" t="str">
        <f>IF(H63&lt;&gt;"",H63*Supuestos!$C$11,"")</f>
        <v/>
      </c>
      <c r="J63" s="73" t="str">
        <f>IF(H63&lt;&gt;"",H63*Supuestos!$C$12*Supuestos!$C$13,"")</f>
        <v/>
      </c>
      <c r="K63" s="73" t="str">
        <f>IF(H63&lt;&gt;"",H63*Supuestos!$C$14,"")</f>
        <v/>
      </c>
      <c r="L63" s="32" t="str">
        <f t="shared" si="4"/>
        <v/>
      </c>
      <c r="M63" s="17"/>
      <c r="N63" s="32" t="str">
        <f t="shared" si="5"/>
        <v/>
      </c>
      <c r="O63" s="74" t="str">
        <f t="shared" ca="1" si="6"/>
        <v/>
      </c>
      <c r="P63" s="75" t="str">
        <f t="shared" ca="1" si="7"/>
        <v/>
      </c>
      <c r="Q63" s="71"/>
    </row>
    <row r="64" spans="2:17" ht="15.75" customHeight="1" x14ac:dyDescent="0.2">
      <c r="B64" s="66">
        <v>55</v>
      </c>
      <c r="C64" s="30"/>
      <c r="D64" s="30"/>
      <c r="E64" s="30"/>
      <c r="F64" s="43"/>
      <c r="G64" s="43"/>
      <c r="H64" s="17"/>
      <c r="I64" s="67" t="str">
        <f>IF(H64&lt;&gt;"",H64*Supuestos!$C$11,"")</f>
        <v/>
      </c>
      <c r="J64" s="67" t="str">
        <f>IF(H64&lt;&gt;"",H64*Supuestos!$C$12*Supuestos!$C$13,"")</f>
        <v/>
      </c>
      <c r="K64" s="67" t="str">
        <f>IF(H64&lt;&gt;"",H64*Supuestos!$C$14,"")</f>
        <v/>
      </c>
      <c r="L64" s="68" t="str">
        <f t="shared" si="4"/>
        <v/>
      </c>
      <c r="M64" s="17"/>
      <c r="N64" s="68" t="str">
        <f t="shared" si="5"/>
        <v/>
      </c>
      <c r="O64" s="69" t="str">
        <f t="shared" ca="1" si="6"/>
        <v/>
      </c>
      <c r="P64" s="70" t="str">
        <f t="shared" ca="1" si="7"/>
        <v/>
      </c>
      <c r="Q64" s="71"/>
    </row>
    <row r="65" spans="2:17" ht="15.75" customHeight="1" x14ac:dyDescent="0.2">
      <c r="B65" s="72">
        <v>56</v>
      </c>
      <c r="C65" s="30"/>
      <c r="D65" s="30"/>
      <c r="E65" s="30"/>
      <c r="F65" s="43"/>
      <c r="G65" s="43"/>
      <c r="H65" s="17"/>
      <c r="I65" s="73" t="str">
        <f>IF(H65&lt;&gt;"",H65*Supuestos!$C$11,"")</f>
        <v/>
      </c>
      <c r="J65" s="73" t="str">
        <f>IF(H65&lt;&gt;"",H65*Supuestos!$C$12*Supuestos!$C$13,"")</f>
        <v/>
      </c>
      <c r="K65" s="73" t="str">
        <f>IF(H65&lt;&gt;"",H65*Supuestos!$C$14,"")</f>
        <v/>
      </c>
      <c r="L65" s="32" t="str">
        <f t="shared" si="4"/>
        <v/>
      </c>
      <c r="M65" s="17"/>
      <c r="N65" s="32" t="str">
        <f t="shared" si="5"/>
        <v/>
      </c>
      <c r="O65" s="74" t="str">
        <f t="shared" ca="1" si="6"/>
        <v/>
      </c>
      <c r="P65" s="75" t="str">
        <f t="shared" ca="1" si="7"/>
        <v/>
      </c>
      <c r="Q65" s="71"/>
    </row>
    <row r="66" spans="2:17" ht="15.75" customHeight="1" x14ac:dyDescent="0.2">
      <c r="B66" s="66">
        <v>57</v>
      </c>
      <c r="C66" s="30"/>
      <c r="D66" s="30"/>
      <c r="E66" s="30"/>
      <c r="F66" s="43"/>
      <c r="G66" s="43"/>
      <c r="H66" s="17"/>
      <c r="I66" s="67" t="str">
        <f>IF(H66&lt;&gt;"",H66*Supuestos!$C$11,"")</f>
        <v/>
      </c>
      <c r="J66" s="67" t="str">
        <f>IF(H66&lt;&gt;"",H66*Supuestos!$C$12*Supuestos!$C$13,"")</f>
        <v/>
      </c>
      <c r="K66" s="67" t="str">
        <f>IF(H66&lt;&gt;"",H66*Supuestos!$C$14,"")</f>
        <v/>
      </c>
      <c r="L66" s="68" t="str">
        <f t="shared" si="4"/>
        <v/>
      </c>
      <c r="M66" s="17"/>
      <c r="N66" s="68" t="str">
        <f t="shared" si="5"/>
        <v/>
      </c>
      <c r="O66" s="69" t="str">
        <f t="shared" ca="1" si="6"/>
        <v/>
      </c>
      <c r="P66" s="70" t="str">
        <f t="shared" ca="1" si="7"/>
        <v/>
      </c>
      <c r="Q66" s="71"/>
    </row>
    <row r="67" spans="2:17" ht="15.75" customHeight="1" x14ac:dyDescent="0.2">
      <c r="B67" s="72">
        <v>58</v>
      </c>
      <c r="C67" s="30"/>
      <c r="D67" s="30"/>
      <c r="E67" s="30"/>
      <c r="F67" s="43"/>
      <c r="G67" s="43"/>
      <c r="H67" s="17"/>
      <c r="I67" s="73" t="str">
        <f>IF(H67&lt;&gt;"",H67*Supuestos!$C$11,"")</f>
        <v/>
      </c>
      <c r="J67" s="73" t="str">
        <f>IF(H67&lt;&gt;"",H67*Supuestos!$C$12*Supuestos!$C$13,"")</f>
        <v/>
      </c>
      <c r="K67" s="73" t="str">
        <f>IF(H67&lt;&gt;"",H67*Supuestos!$C$14,"")</f>
        <v/>
      </c>
      <c r="L67" s="32" t="str">
        <f t="shared" si="4"/>
        <v/>
      </c>
      <c r="M67" s="17"/>
      <c r="N67" s="32" t="str">
        <f t="shared" si="5"/>
        <v/>
      </c>
      <c r="O67" s="74" t="str">
        <f t="shared" ca="1" si="6"/>
        <v/>
      </c>
      <c r="P67" s="75" t="str">
        <f t="shared" ca="1" si="7"/>
        <v/>
      </c>
      <c r="Q67" s="71"/>
    </row>
    <row r="68" spans="2:17" ht="15.75" customHeight="1" x14ac:dyDescent="0.2">
      <c r="B68" s="66">
        <v>59</v>
      </c>
      <c r="C68" s="30"/>
      <c r="D68" s="30"/>
      <c r="E68" s="30"/>
      <c r="F68" s="43"/>
      <c r="G68" s="43"/>
      <c r="H68" s="17"/>
      <c r="I68" s="67" t="str">
        <f>IF(H68&lt;&gt;"",H68*Supuestos!$C$11,"")</f>
        <v/>
      </c>
      <c r="J68" s="67" t="str">
        <f>IF(H68&lt;&gt;"",H68*Supuestos!$C$12*Supuestos!$C$13,"")</f>
        <v/>
      </c>
      <c r="K68" s="67" t="str">
        <f>IF(H68&lt;&gt;"",H68*Supuestos!$C$14,"")</f>
        <v/>
      </c>
      <c r="L68" s="68" t="str">
        <f t="shared" si="4"/>
        <v/>
      </c>
      <c r="M68" s="17"/>
      <c r="N68" s="68" t="str">
        <f t="shared" si="5"/>
        <v/>
      </c>
      <c r="O68" s="69" t="str">
        <f t="shared" ca="1" si="6"/>
        <v/>
      </c>
      <c r="P68" s="70" t="str">
        <f t="shared" ca="1" si="7"/>
        <v/>
      </c>
      <c r="Q68" s="71"/>
    </row>
    <row r="69" spans="2:17" ht="15.75" customHeight="1" x14ac:dyDescent="0.2">
      <c r="B69" s="72">
        <v>60</v>
      </c>
      <c r="C69" s="30"/>
      <c r="D69" s="30"/>
      <c r="E69" s="30"/>
      <c r="F69" s="43"/>
      <c r="G69" s="43"/>
      <c r="H69" s="17"/>
      <c r="I69" s="73" t="str">
        <f>IF(H69&lt;&gt;"",H69*Supuestos!$C$11,"")</f>
        <v/>
      </c>
      <c r="J69" s="73" t="str">
        <f>IF(H69&lt;&gt;"",H69*Supuestos!$C$12*Supuestos!$C$13,"")</f>
        <v/>
      </c>
      <c r="K69" s="73" t="str">
        <f>IF(H69&lt;&gt;"",H69*Supuestos!$C$14,"")</f>
        <v/>
      </c>
      <c r="L69" s="32" t="str">
        <f t="shared" si="4"/>
        <v/>
      </c>
      <c r="M69" s="17"/>
      <c r="N69" s="32" t="str">
        <f t="shared" si="5"/>
        <v/>
      </c>
      <c r="O69" s="74" t="str">
        <f t="shared" ca="1" si="6"/>
        <v/>
      </c>
      <c r="P69" s="75" t="str">
        <f t="shared" ca="1" si="7"/>
        <v/>
      </c>
      <c r="Q69" s="71"/>
    </row>
    <row r="70" spans="2:17" ht="15.75" customHeight="1" x14ac:dyDescent="0.2">
      <c r="B70" s="66">
        <v>61</v>
      </c>
      <c r="C70" s="30"/>
      <c r="D70" s="30"/>
      <c r="E70" s="30"/>
      <c r="F70" s="43"/>
      <c r="G70" s="43"/>
      <c r="H70" s="17"/>
      <c r="I70" s="67" t="str">
        <f>IF(H70&lt;&gt;"",H70*Supuestos!$C$11,"")</f>
        <v/>
      </c>
      <c r="J70" s="67" t="str">
        <f>IF(H70&lt;&gt;"",H70*Supuestos!$C$12*Supuestos!$C$13,"")</f>
        <v/>
      </c>
      <c r="K70" s="67" t="str">
        <f>IF(H70&lt;&gt;"",H70*Supuestos!$C$14,"")</f>
        <v/>
      </c>
      <c r="L70" s="68" t="str">
        <f t="shared" si="4"/>
        <v/>
      </c>
      <c r="M70" s="17"/>
      <c r="N70" s="68" t="str">
        <f t="shared" si="5"/>
        <v/>
      </c>
      <c r="O70" s="69" t="str">
        <f t="shared" ca="1" si="6"/>
        <v/>
      </c>
      <c r="P70" s="70" t="str">
        <f t="shared" ca="1" si="7"/>
        <v/>
      </c>
      <c r="Q70" s="71"/>
    </row>
    <row r="71" spans="2:17" ht="15.75" customHeight="1" x14ac:dyDescent="0.2">
      <c r="B71" s="72">
        <v>62</v>
      </c>
      <c r="C71" s="30"/>
      <c r="D71" s="30"/>
      <c r="E71" s="30"/>
      <c r="F71" s="43"/>
      <c r="G71" s="43"/>
      <c r="H71" s="17"/>
      <c r="I71" s="73" t="str">
        <f>IF(H71&lt;&gt;"",H71*Supuestos!$C$11,"")</f>
        <v/>
      </c>
      <c r="J71" s="73" t="str">
        <f>IF(H71&lt;&gt;"",H71*Supuestos!$C$12*Supuestos!$C$13,"")</f>
        <v/>
      </c>
      <c r="K71" s="73" t="str">
        <f>IF(H71&lt;&gt;"",H71*Supuestos!$C$14,"")</f>
        <v/>
      </c>
      <c r="L71" s="32" t="str">
        <f t="shared" si="4"/>
        <v/>
      </c>
      <c r="M71" s="17"/>
      <c r="N71" s="32" t="str">
        <f t="shared" si="5"/>
        <v/>
      </c>
      <c r="O71" s="74" t="str">
        <f t="shared" ca="1" si="6"/>
        <v/>
      </c>
      <c r="P71" s="75" t="str">
        <f t="shared" ca="1" si="7"/>
        <v/>
      </c>
      <c r="Q71" s="71"/>
    </row>
    <row r="72" spans="2:17" ht="15.75" customHeight="1" x14ac:dyDescent="0.2">
      <c r="B72" s="66">
        <v>63</v>
      </c>
      <c r="C72" s="30"/>
      <c r="D72" s="30"/>
      <c r="E72" s="30"/>
      <c r="F72" s="43"/>
      <c r="G72" s="43"/>
      <c r="H72" s="17"/>
      <c r="I72" s="67" t="str">
        <f>IF(H72&lt;&gt;"",H72*Supuestos!$C$11,"")</f>
        <v/>
      </c>
      <c r="J72" s="67" t="str">
        <f>IF(H72&lt;&gt;"",H72*Supuestos!$C$12*Supuestos!$C$13,"")</f>
        <v/>
      </c>
      <c r="K72" s="67" t="str">
        <f>IF(H72&lt;&gt;"",H72*Supuestos!$C$14,"")</f>
        <v/>
      </c>
      <c r="L72" s="68" t="str">
        <f t="shared" si="4"/>
        <v/>
      </c>
      <c r="M72" s="17"/>
      <c r="N72" s="68" t="str">
        <f t="shared" si="5"/>
        <v/>
      </c>
      <c r="O72" s="69" t="str">
        <f t="shared" ca="1" si="6"/>
        <v/>
      </c>
      <c r="P72" s="70" t="str">
        <f t="shared" ca="1" si="7"/>
        <v/>
      </c>
      <c r="Q72" s="71"/>
    </row>
    <row r="73" spans="2:17" ht="15.75" customHeight="1" x14ac:dyDescent="0.2">
      <c r="B73" s="72">
        <v>64</v>
      </c>
      <c r="C73" s="30"/>
      <c r="D73" s="30"/>
      <c r="E73" s="30"/>
      <c r="F73" s="43"/>
      <c r="G73" s="43"/>
      <c r="H73" s="17"/>
      <c r="I73" s="73" t="str">
        <f>IF(H73&lt;&gt;"",H73*Supuestos!$C$11,"")</f>
        <v/>
      </c>
      <c r="J73" s="73" t="str">
        <f>IF(H73&lt;&gt;"",H73*Supuestos!$C$12*Supuestos!$C$13,"")</f>
        <v/>
      </c>
      <c r="K73" s="73" t="str">
        <f>IF(H73&lt;&gt;"",H73*Supuestos!$C$14,"")</f>
        <v/>
      </c>
      <c r="L73" s="32" t="str">
        <f t="shared" si="4"/>
        <v/>
      </c>
      <c r="M73" s="17"/>
      <c r="N73" s="32" t="str">
        <f t="shared" si="5"/>
        <v/>
      </c>
      <c r="O73" s="74" t="str">
        <f t="shared" ca="1" si="6"/>
        <v/>
      </c>
      <c r="P73" s="75" t="str">
        <f t="shared" ca="1" si="7"/>
        <v/>
      </c>
      <c r="Q73" s="71"/>
    </row>
    <row r="74" spans="2:17" ht="15.75" customHeight="1" x14ac:dyDescent="0.2">
      <c r="B74" s="66">
        <v>65</v>
      </c>
      <c r="C74" s="30"/>
      <c r="D74" s="30"/>
      <c r="E74" s="30"/>
      <c r="F74" s="43"/>
      <c r="G74" s="43"/>
      <c r="H74" s="17"/>
      <c r="I74" s="67" t="str">
        <f>IF(H74&lt;&gt;"",H74*Supuestos!$C$11,"")</f>
        <v/>
      </c>
      <c r="J74" s="67" t="str">
        <f>IF(H74&lt;&gt;"",H74*Supuestos!$C$12*Supuestos!$C$13,"")</f>
        <v/>
      </c>
      <c r="K74" s="67" t="str">
        <f>IF(H74&lt;&gt;"",H74*Supuestos!$C$14,"")</f>
        <v/>
      </c>
      <c r="L74" s="68" t="str">
        <f t="shared" ref="L74:L105" si="8">IF(H74&lt;&gt;"",H74+I74-J74-K74,"")</f>
        <v/>
      </c>
      <c r="M74" s="17"/>
      <c r="N74" s="68" t="str">
        <f t="shared" ref="N74:N105" si="9">IF(H74&lt;&gt;"",IF(M74&lt;&gt;"",L74-M74,L74),"")</f>
        <v/>
      </c>
      <c r="O74" s="69" t="str">
        <f t="shared" ref="O74:O105" ca="1" si="10">IF(AND(H74&lt;&gt;"",N74&gt;0,G74&lt;&gt;""),MAX(TODAY()-G74,0),"")</f>
        <v/>
      </c>
      <c r="P74" s="70" t="str">
        <f t="shared" ref="P74:P105" ca="1" si="11">IF(H74="","",IF(N74&lt;=0,"COBRADA",IF(G74="","VIGENTE",IF(TODAY()&lt;=G74,"VIGENTE",IF(TODAY()-G74&lt;=30,"VENCIDA",IF(TODAY()-G74&lt;=90,"CRÍTICA","CASTIGAR"))))))</f>
        <v/>
      </c>
      <c r="Q74" s="71"/>
    </row>
    <row r="75" spans="2:17" ht="15.75" customHeight="1" x14ac:dyDescent="0.2">
      <c r="B75" s="72">
        <v>66</v>
      </c>
      <c r="C75" s="30"/>
      <c r="D75" s="30"/>
      <c r="E75" s="30"/>
      <c r="F75" s="43"/>
      <c r="G75" s="43"/>
      <c r="H75" s="17"/>
      <c r="I75" s="73" t="str">
        <f>IF(H75&lt;&gt;"",H75*Supuestos!$C$11,"")</f>
        <v/>
      </c>
      <c r="J75" s="73" t="str">
        <f>IF(H75&lt;&gt;"",H75*Supuestos!$C$12*Supuestos!$C$13,"")</f>
        <v/>
      </c>
      <c r="K75" s="73" t="str">
        <f>IF(H75&lt;&gt;"",H75*Supuestos!$C$14,"")</f>
        <v/>
      </c>
      <c r="L75" s="32" t="str">
        <f t="shared" si="8"/>
        <v/>
      </c>
      <c r="M75" s="17"/>
      <c r="N75" s="32" t="str">
        <f t="shared" si="9"/>
        <v/>
      </c>
      <c r="O75" s="74" t="str">
        <f t="shared" ca="1" si="10"/>
        <v/>
      </c>
      <c r="P75" s="75" t="str">
        <f t="shared" ca="1" si="11"/>
        <v/>
      </c>
      <c r="Q75" s="71"/>
    </row>
    <row r="76" spans="2:17" ht="15.75" customHeight="1" x14ac:dyDescent="0.2">
      <c r="B76" s="66">
        <v>67</v>
      </c>
      <c r="C76" s="30"/>
      <c r="D76" s="30"/>
      <c r="E76" s="30"/>
      <c r="F76" s="43"/>
      <c r="G76" s="43"/>
      <c r="H76" s="17"/>
      <c r="I76" s="67" t="str">
        <f>IF(H76&lt;&gt;"",H76*Supuestos!$C$11,"")</f>
        <v/>
      </c>
      <c r="J76" s="67" t="str">
        <f>IF(H76&lt;&gt;"",H76*Supuestos!$C$12*Supuestos!$C$13,"")</f>
        <v/>
      </c>
      <c r="K76" s="67" t="str">
        <f>IF(H76&lt;&gt;"",H76*Supuestos!$C$14,"")</f>
        <v/>
      </c>
      <c r="L76" s="68" t="str">
        <f t="shared" si="8"/>
        <v/>
      </c>
      <c r="M76" s="17"/>
      <c r="N76" s="68" t="str">
        <f t="shared" si="9"/>
        <v/>
      </c>
      <c r="O76" s="69" t="str">
        <f t="shared" ca="1" si="10"/>
        <v/>
      </c>
      <c r="P76" s="70" t="str">
        <f t="shared" ca="1" si="11"/>
        <v/>
      </c>
      <c r="Q76" s="71"/>
    </row>
    <row r="77" spans="2:17" ht="15.75" customHeight="1" x14ac:dyDescent="0.2">
      <c r="B77" s="72">
        <v>68</v>
      </c>
      <c r="C77" s="30"/>
      <c r="D77" s="30"/>
      <c r="E77" s="30"/>
      <c r="F77" s="43"/>
      <c r="G77" s="43"/>
      <c r="H77" s="17"/>
      <c r="I77" s="73" t="str">
        <f>IF(H77&lt;&gt;"",H77*Supuestos!$C$11,"")</f>
        <v/>
      </c>
      <c r="J77" s="73" t="str">
        <f>IF(H77&lt;&gt;"",H77*Supuestos!$C$12*Supuestos!$C$13,"")</f>
        <v/>
      </c>
      <c r="K77" s="73" t="str">
        <f>IF(H77&lt;&gt;"",H77*Supuestos!$C$14,"")</f>
        <v/>
      </c>
      <c r="L77" s="32" t="str">
        <f t="shared" si="8"/>
        <v/>
      </c>
      <c r="M77" s="17"/>
      <c r="N77" s="32" t="str">
        <f t="shared" si="9"/>
        <v/>
      </c>
      <c r="O77" s="74" t="str">
        <f t="shared" ca="1" si="10"/>
        <v/>
      </c>
      <c r="P77" s="75" t="str">
        <f t="shared" ca="1" si="11"/>
        <v/>
      </c>
      <c r="Q77" s="71"/>
    </row>
    <row r="78" spans="2:17" ht="15.75" customHeight="1" x14ac:dyDescent="0.2">
      <c r="B78" s="66">
        <v>69</v>
      </c>
      <c r="C78" s="30"/>
      <c r="D78" s="30"/>
      <c r="E78" s="30"/>
      <c r="F78" s="43"/>
      <c r="G78" s="43"/>
      <c r="H78" s="17"/>
      <c r="I78" s="67" t="str">
        <f>IF(H78&lt;&gt;"",H78*Supuestos!$C$11,"")</f>
        <v/>
      </c>
      <c r="J78" s="67" t="str">
        <f>IF(H78&lt;&gt;"",H78*Supuestos!$C$12*Supuestos!$C$13,"")</f>
        <v/>
      </c>
      <c r="K78" s="67" t="str">
        <f>IF(H78&lt;&gt;"",H78*Supuestos!$C$14,"")</f>
        <v/>
      </c>
      <c r="L78" s="68" t="str">
        <f t="shared" si="8"/>
        <v/>
      </c>
      <c r="M78" s="17"/>
      <c r="N78" s="68" t="str">
        <f t="shared" si="9"/>
        <v/>
      </c>
      <c r="O78" s="69" t="str">
        <f t="shared" ca="1" si="10"/>
        <v/>
      </c>
      <c r="P78" s="70" t="str">
        <f t="shared" ca="1" si="11"/>
        <v/>
      </c>
      <c r="Q78" s="71"/>
    </row>
    <row r="79" spans="2:17" ht="15.75" customHeight="1" x14ac:dyDescent="0.2">
      <c r="B79" s="72">
        <v>70</v>
      </c>
      <c r="C79" s="30"/>
      <c r="D79" s="30"/>
      <c r="E79" s="30"/>
      <c r="F79" s="43"/>
      <c r="G79" s="43"/>
      <c r="H79" s="17"/>
      <c r="I79" s="73" t="str">
        <f>IF(H79&lt;&gt;"",H79*Supuestos!$C$11,"")</f>
        <v/>
      </c>
      <c r="J79" s="73" t="str">
        <f>IF(H79&lt;&gt;"",H79*Supuestos!$C$12*Supuestos!$C$13,"")</f>
        <v/>
      </c>
      <c r="K79" s="73" t="str">
        <f>IF(H79&lt;&gt;"",H79*Supuestos!$C$14,"")</f>
        <v/>
      </c>
      <c r="L79" s="32" t="str">
        <f t="shared" si="8"/>
        <v/>
      </c>
      <c r="M79" s="17"/>
      <c r="N79" s="32" t="str">
        <f t="shared" si="9"/>
        <v/>
      </c>
      <c r="O79" s="74" t="str">
        <f t="shared" ca="1" si="10"/>
        <v/>
      </c>
      <c r="P79" s="75" t="str">
        <f t="shared" ca="1" si="11"/>
        <v/>
      </c>
      <c r="Q79" s="71"/>
    </row>
    <row r="80" spans="2:17" ht="15.75" customHeight="1" x14ac:dyDescent="0.2">
      <c r="B80" s="66">
        <v>71</v>
      </c>
      <c r="C80" s="30"/>
      <c r="D80" s="30"/>
      <c r="E80" s="30"/>
      <c r="F80" s="43"/>
      <c r="G80" s="43"/>
      <c r="H80" s="17"/>
      <c r="I80" s="67" t="str">
        <f>IF(H80&lt;&gt;"",H80*Supuestos!$C$11,"")</f>
        <v/>
      </c>
      <c r="J80" s="67" t="str">
        <f>IF(H80&lt;&gt;"",H80*Supuestos!$C$12*Supuestos!$C$13,"")</f>
        <v/>
      </c>
      <c r="K80" s="67" t="str">
        <f>IF(H80&lt;&gt;"",H80*Supuestos!$C$14,"")</f>
        <v/>
      </c>
      <c r="L80" s="68" t="str">
        <f t="shared" si="8"/>
        <v/>
      </c>
      <c r="M80" s="17"/>
      <c r="N80" s="68" t="str">
        <f t="shared" si="9"/>
        <v/>
      </c>
      <c r="O80" s="69" t="str">
        <f t="shared" ca="1" si="10"/>
        <v/>
      </c>
      <c r="P80" s="70" t="str">
        <f t="shared" ca="1" si="11"/>
        <v/>
      </c>
      <c r="Q80" s="71"/>
    </row>
    <row r="81" spans="2:17" ht="15.75" customHeight="1" x14ac:dyDescent="0.2">
      <c r="B81" s="72">
        <v>72</v>
      </c>
      <c r="C81" s="30"/>
      <c r="D81" s="30"/>
      <c r="E81" s="30"/>
      <c r="F81" s="43"/>
      <c r="G81" s="43"/>
      <c r="H81" s="17"/>
      <c r="I81" s="73" t="str">
        <f>IF(H81&lt;&gt;"",H81*Supuestos!$C$11,"")</f>
        <v/>
      </c>
      <c r="J81" s="73" t="str">
        <f>IF(H81&lt;&gt;"",H81*Supuestos!$C$12*Supuestos!$C$13,"")</f>
        <v/>
      </c>
      <c r="K81" s="73" t="str">
        <f>IF(H81&lt;&gt;"",H81*Supuestos!$C$14,"")</f>
        <v/>
      </c>
      <c r="L81" s="32" t="str">
        <f t="shared" si="8"/>
        <v/>
      </c>
      <c r="M81" s="17"/>
      <c r="N81" s="32" t="str">
        <f t="shared" si="9"/>
        <v/>
      </c>
      <c r="O81" s="74" t="str">
        <f t="shared" ca="1" si="10"/>
        <v/>
      </c>
      <c r="P81" s="75" t="str">
        <f t="shared" ca="1" si="11"/>
        <v/>
      </c>
      <c r="Q81" s="71"/>
    </row>
    <row r="82" spans="2:17" ht="15.75" customHeight="1" x14ac:dyDescent="0.2">
      <c r="B82" s="66">
        <v>73</v>
      </c>
      <c r="C82" s="30"/>
      <c r="D82" s="30"/>
      <c r="E82" s="30"/>
      <c r="F82" s="43"/>
      <c r="G82" s="43"/>
      <c r="H82" s="17"/>
      <c r="I82" s="67" t="str">
        <f>IF(H82&lt;&gt;"",H82*Supuestos!$C$11,"")</f>
        <v/>
      </c>
      <c r="J82" s="67" t="str">
        <f>IF(H82&lt;&gt;"",H82*Supuestos!$C$12*Supuestos!$C$13,"")</f>
        <v/>
      </c>
      <c r="K82" s="67" t="str">
        <f>IF(H82&lt;&gt;"",H82*Supuestos!$C$14,"")</f>
        <v/>
      </c>
      <c r="L82" s="68" t="str">
        <f t="shared" si="8"/>
        <v/>
      </c>
      <c r="M82" s="17"/>
      <c r="N82" s="68" t="str">
        <f t="shared" si="9"/>
        <v/>
      </c>
      <c r="O82" s="69" t="str">
        <f t="shared" ca="1" si="10"/>
        <v/>
      </c>
      <c r="P82" s="70" t="str">
        <f t="shared" ca="1" si="11"/>
        <v/>
      </c>
      <c r="Q82" s="71"/>
    </row>
    <row r="83" spans="2:17" ht="15.75" customHeight="1" x14ac:dyDescent="0.2">
      <c r="B83" s="72">
        <v>74</v>
      </c>
      <c r="C83" s="30"/>
      <c r="D83" s="30"/>
      <c r="E83" s="30"/>
      <c r="F83" s="43"/>
      <c r="G83" s="43"/>
      <c r="H83" s="17"/>
      <c r="I83" s="73" t="str">
        <f>IF(H83&lt;&gt;"",H83*Supuestos!$C$11,"")</f>
        <v/>
      </c>
      <c r="J83" s="73" t="str">
        <f>IF(H83&lt;&gt;"",H83*Supuestos!$C$12*Supuestos!$C$13,"")</f>
        <v/>
      </c>
      <c r="K83" s="73" t="str">
        <f>IF(H83&lt;&gt;"",H83*Supuestos!$C$14,"")</f>
        <v/>
      </c>
      <c r="L83" s="32" t="str">
        <f t="shared" si="8"/>
        <v/>
      </c>
      <c r="M83" s="17"/>
      <c r="N83" s="32" t="str">
        <f t="shared" si="9"/>
        <v/>
      </c>
      <c r="O83" s="74" t="str">
        <f t="shared" ca="1" si="10"/>
        <v/>
      </c>
      <c r="P83" s="75" t="str">
        <f t="shared" ca="1" si="11"/>
        <v/>
      </c>
      <c r="Q83" s="71"/>
    </row>
    <row r="84" spans="2:17" ht="15.75" customHeight="1" x14ac:dyDescent="0.2">
      <c r="B84" s="66">
        <v>75</v>
      </c>
      <c r="C84" s="30"/>
      <c r="D84" s="30"/>
      <c r="E84" s="30"/>
      <c r="F84" s="43"/>
      <c r="G84" s="43"/>
      <c r="H84" s="17"/>
      <c r="I84" s="67" t="str">
        <f>IF(H84&lt;&gt;"",H84*Supuestos!$C$11,"")</f>
        <v/>
      </c>
      <c r="J84" s="67" t="str">
        <f>IF(H84&lt;&gt;"",H84*Supuestos!$C$12*Supuestos!$C$13,"")</f>
        <v/>
      </c>
      <c r="K84" s="67" t="str">
        <f>IF(H84&lt;&gt;"",H84*Supuestos!$C$14,"")</f>
        <v/>
      </c>
      <c r="L84" s="68" t="str">
        <f t="shared" si="8"/>
        <v/>
      </c>
      <c r="M84" s="17"/>
      <c r="N84" s="68" t="str">
        <f t="shared" si="9"/>
        <v/>
      </c>
      <c r="O84" s="69" t="str">
        <f t="shared" ca="1" si="10"/>
        <v/>
      </c>
      <c r="P84" s="70" t="str">
        <f t="shared" ca="1" si="11"/>
        <v/>
      </c>
      <c r="Q84" s="71"/>
    </row>
    <row r="85" spans="2:17" ht="15.75" customHeight="1" x14ac:dyDescent="0.2">
      <c r="B85" s="72">
        <v>76</v>
      </c>
      <c r="C85" s="30"/>
      <c r="D85" s="30"/>
      <c r="E85" s="30"/>
      <c r="F85" s="43"/>
      <c r="G85" s="43"/>
      <c r="H85" s="17"/>
      <c r="I85" s="73" t="str">
        <f>IF(H85&lt;&gt;"",H85*Supuestos!$C$11,"")</f>
        <v/>
      </c>
      <c r="J85" s="73" t="str">
        <f>IF(H85&lt;&gt;"",H85*Supuestos!$C$12*Supuestos!$C$13,"")</f>
        <v/>
      </c>
      <c r="K85" s="73" t="str">
        <f>IF(H85&lt;&gt;"",H85*Supuestos!$C$14,"")</f>
        <v/>
      </c>
      <c r="L85" s="32" t="str">
        <f t="shared" si="8"/>
        <v/>
      </c>
      <c r="M85" s="17"/>
      <c r="N85" s="32" t="str">
        <f t="shared" si="9"/>
        <v/>
      </c>
      <c r="O85" s="74" t="str">
        <f t="shared" ca="1" si="10"/>
        <v/>
      </c>
      <c r="P85" s="75" t="str">
        <f t="shared" ca="1" si="11"/>
        <v/>
      </c>
      <c r="Q85" s="71"/>
    </row>
    <row r="86" spans="2:17" ht="15.75" customHeight="1" x14ac:dyDescent="0.2">
      <c r="B86" s="66">
        <v>77</v>
      </c>
      <c r="C86" s="30"/>
      <c r="D86" s="30"/>
      <c r="E86" s="30"/>
      <c r="F86" s="43"/>
      <c r="G86" s="43"/>
      <c r="H86" s="17"/>
      <c r="I86" s="67" t="str">
        <f>IF(H86&lt;&gt;"",H86*Supuestos!$C$11,"")</f>
        <v/>
      </c>
      <c r="J86" s="67" t="str">
        <f>IF(H86&lt;&gt;"",H86*Supuestos!$C$12*Supuestos!$C$13,"")</f>
        <v/>
      </c>
      <c r="K86" s="67" t="str">
        <f>IF(H86&lt;&gt;"",H86*Supuestos!$C$14,"")</f>
        <v/>
      </c>
      <c r="L86" s="68" t="str">
        <f t="shared" si="8"/>
        <v/>
      </c>
      <c r="M86" s="17"/>
      <c r="N86" s="68" t="str">
        <f t="shared" si="9"/>
        <v/>
      </c>
      <c r="O86" s="69" t="str">
        <f t="shared" ca="1" si="10"/>
        <v/>
      </c>
      <c r="P86" s="70" t="str">
        <f t="shared" ca="1" si="11"/>
        <v/>
      </c>
      <c r="Q86" s="71"/>
    </row>
    <row r="87" spans="2:17" ht="15.75" customHeight="1" x14ac:dyDescent="0.2">
      <c r="B87" s="72">
        <v>78</v>
      </c>
      <c r="C87" s="30"/>
      <c r="D87" s="30"/>
      <c r="E87" s="30"/>
      <c r="F87" s="43"/>
      <c r="G87" s="43"/>
      <c r="H87" s="17"/>
      <c r="I87" s="73" t="str">
        <f>IF(H87&lt;&gt;"",H87*Supuestos!$C$11,"")</f>
        <v/>
      </c>
      <c r="J87" s="73" t="str">
        <f>IF(H87&lt;&gt;"",H87*Supuestos!$C$12*Supuestos!$C$13,"")</f>
        <v/>
      </c>
      <c r="K87" s="73" t="str">
        <f>IF(H87&lt;&gt;"",H87*Supuestos!$C$14,"")</f>
        <v/>
      </c>
      <c r="L87" s="32" t="str">
        <f t="shared" si="8"/>
        <v/>
      </c>
      <c r="M87" s="17"/>
      <c r="N87" s="32" t="str">
        <f t="shared" si="9"/>
        <v/>
      </c>
      <c r="O87" s="74" t="str">
        <f t="shared" ca="1" si="10"/>
        <v/>
      </c>
      <c r="P87" s="75" t="str">
        <f t="shared" ca="1" si="11"/>
        <v/>
      </c>
      <c r="Q87" s="71"/>
    </row>
    <row r="88" spans="2:17" ht="15.75" customHeight="1" x14ac:dyDescent="0.2">
      <c r="B88" s="66">
        <v>79</v>
      </c>
      <c r="C88" s="30"/>
      <c r="D88" s="30"/>
      <c r="E88" s="30"/>
      <c r="F88" s="43"/>
      <c r="G88" s="43"/>
      <c r="H88" s="17"/>
      <c r="I88" s="67" t="str">
        <f>IF(H88&lt;&gt;"",H88*Supuestos!$C$11,"")</f>
        <v/>
      </c>
      <c r="J88" s="67" t="str">
        <f>IF(H88&lt;&gt;"",H88*Supuestos!$C$12*Supuestos!$C$13,"")</f>
        <v/>
      </c>
      <c r="K88" s="67" t="str">
        <f>IF(H88&lt;&gt;"",H88*Supuestos!$C$14,"")</f>
        <v/>
      </c>
      <c r="L88" s="68" t="str">
        <f t="shared" si="8"/>
        <v/>
      </c>
      <c r="M88" s="17"/>
      <c r="N88" s="68" t="str">
        <f t="shared" si="9"/>
        <v/>
      </c>
      <c r="O88" s="69" t="str">
        <f t="shared" ca="1" si="10"/>
        <v/>
      </c>
      <c r="P88" s="70" t="str">
        <f t="shared" ca="1" si="11"/>
        <v/>
      </c>
      <c r="Q88" s="71"/>
    </row>
    <row r="89" spans="2:17" ht="15.75" customHeight="1" x14ac:dyDescent="0.2">
      <c r="B89" s="72">
        <v>80</v>
      </c>
      <c r="C89" s="30"/>
      <c r="D89" s="30"/>
      <c r="E89" s="30"/>
      <c r="F89" s="43"/>
      <c r="G89" s="43"/>
      <c r="H89" s="17"/>
      <c r="I89" s="73" t="str">
        <f>IF(H89&lt;&gt;"",H89*Supuestos!$C$11,"")</f>
        <v/>
      </c>
      <c r="J89" s="73" t="str">
        <f>IF(H89&lt;&gt;"",H89*Supuestos!$C$12*Supuestos!$C$13,"")</f>
        <v/>
      </c>
      <c r="K89" s="73" t="str">
        <f>IF(H89&lt;&gt;"",H89*Supuestos!$C$14,"")</f>
        <v/>
      </c>
      <c r="L89" s="32" t="str">
        <f t="shared" si="8"/>
        <v/>
      </c>
      <c r="M89" s="17"/>
      <c r="N89" s="32" t="str">
        <f t="shared" si="9"/>
        <v/>
      </c>
      <c r="O89" s="74" t="str">
        <f t="shared" ca="1" si="10"/>
        <v/>
      </c>
      <c r="P89" s="75" t="str">
        <f t="shared" ca="1" si="11"/>
        <v/>
      </c>
      <c r="Q89" s="71"/>
    </row>
    <row r="90" spans="2:17" ht="15.75" customHeight="1" x14ac:dyDescent="0.2">
      <c r="B90" s="66">
        <v>81</v>
      </c>
      <c r="C90" s="30"/>
      <c r="D90" s="30"/>
      <c r="E90" s="30"/>
      <c r="F90" s="43"/>
      <c r="G90" s="43"/>
      <c r="H90" s="17"/>
      <c r="I90" s="67" t="str">
        <f>IF(H90&lt;&gt;"",H90*Supuestos!$C$11,"")</f>
        <v/>
      </c>
      <c r="J90" s="67" t="str">
        <f>IF(H90&lt;&gt;"",H90*Supuestos!$C$12*Supuestos!$C$13,"")</f>
        <v/>
      </c>
      <c r="K90" s="67" t="str">
        <f>IF(H90&lt;&gt;"",H90*Supuestos!$C$14,"")</f>
        <v/>
      </c>
      <c r="L90" s="68" t="str">
        <f t="shared" si="8"/>
        <v/>
      </c>
      <c r="M90" s="17"/>
      <c r="N90" s="68" t="str">
        <f t="shared" si="9"/>
        <v/>
      </c>
      <c r="O90" s="69" t="str">
        <f t="shared" ca="1" si="10"/>
        <v/>
      </c>
      <c r="P90" s="70" t="str">
        <f t="shared" ca="1" si="11"/>
        <v/>
      </c>
      <c r="Q90" s="71"/>
    </row>
    <row r="91" spans="2:17" ht="15.75" customHeight="1" x14ac:dyDescent="0.2">
      <c r="B91" s="72">
        <v>82</v>
      </c>
      <c r="C91" s="30"/>
      <c r="D91" s="30"/>
      <c r="E91" s="30"/>
      <c r="F91" s="43"/>
      <c r="G91" s="43"/>
      <c r="H91" s="17"/>
      <c r="I91" s="73" t="str">
        <f>IF(H91&lt;&gt;"",H91*Supuestos!$C$11,"")</f>
        <v/>
      </c>
      <c r="J91" s="73" t="str">
        <f>IF(H91&lt;&gt;"",H91*Supuestos!$C$12*Supuestos!$C$13,"")</f>
        <v/>
      </c>
      <c r="K91" s="73" t="str">
        <f>IF(H91&lt;&gt;"",H91*Supuestos!$C$14,"")</f>
        <v/>
      </c>
      <c r="L91" s="32" t="str">
        <f t="shared" si="8"/>
        <v/>
      </c>
      <c r="M91" s="17"/>
      <c r="N91" s="32" t="str">
        <f t="shared" si="9"/>
        <v/>
      </c>
      <c r="O91" s="74" t="str">
        <f t="shared" ca="1" si="10"/>
        <v/>
      </c>
      <c r="P91" s="75" t="str">
        <f t="shared" ca="1" si="11"/>
        <v/>
      </c>
      <c r="Q91" s="71"/>
    </row>
    <row r="92" spans="2:17" ht="15.75" customHeight="1" x14ac:dyDescent="0.2">
      <c r="B92" s="66">
        <v>83</v>
      </c>
      <c r="C92" s="30"/>
      <c r="D92" s="30"/>
      <c r="E92" s="30"/>
      <c r="F92" s="43"/>
      <c r="G92" s="43"/>
      <c r="H92" s="17"/>
      <c r="I92" s="67" t="str">
        <f>IF(H92&lt;&gt;"",H92*Supuestos!$C$11,"")</f>
        <v/>
      </c>
      <c r="J92" s="67" t="str">
        <f>IF(H92&lt;&gt;"",H92*Supuestos!$C$12*Supuestos!$C$13,"")</f>
        <v/>
      </c>
      <c r="K92" s="67" t="str">
        <f>IF(H92&lt;&gt;"",H92*Supuestos!$C$14,"")</f>
        <v/>
      </c>
      <c r="L92" s="68" t="str">
        <f t="shared" si="8"/>
        <v/>
      </c>
      <c r="M92" s="17"/>
      <c r="N92" s="68" t="str">
        <f t="shared" si="9"/>
        <v/>
      </c>
      <c r="O92" s="69" t="str">
        <f t="shared" ca="1" si="10"/>
        <v/>
      </c>
      <c r="P92" s="70" t="str">
        <f t="shared" ca="1" si="11"/>
        <v/>
      </c>
      <c r="Q92" s="71"/>
    </row>
    <row r="93" spans="2:17" ht="15.75" customHeight="1" x14ac:dyDescent="0.2">
      <c r="B93" s="72">
        <v>84</v>
      </c>
      <c r="C93" s="30"/>
      <c r="D93" s="30"/>
      <c r="E93" s="30"/>
      <c r="F93" s="43"/>
      <c r="G93" s="43"/>
      <c r="H93" s="17"/>
      <c r="I93" s="73" t="str">
        <f>IF(H93&lt;&gt;"",H93*Supuestos!$C$11,"")</f>
        <v/>
      </c>
      <c r="J93" s="73" t="str">
        <f>IF(H93&lt;&gt;"",H93*Supuestos!$C$12*Supuestos!$C$13,"")</f>
        <v/>
      </c>
      <c r="K93" s="73" t="str">
        <f>IF(H93&lt;&gt;"",H93*Supuestos!$C$14,"")</f>
        <v/>
      </c>
      <c r="L93" s="32" t="str">
        <f t="shared" si="8"/>
        <v/>
      </c>
      <c r="M93" s="17"/>
      <c r="N93" s="32" t="str">
        <f t="shared" si="9"/>
        <v/>
      </c>
      <c r="O93" s="74" t="str">
        <f t="shared" ca="1" si="10"/>
        <v/>
      </c>
      <c r="P93" s="75" t="str">
        <f t="shared" ca="1" si="11"/>
        <v/>
      </c>
      <c r="Q93" s="71"/>
    </row>
    <row r="94" spans="2:17" ht="15.75" customHeight="1" x14ac:dyDescent="0.2">
      <c r="B94" s="66">
        <v>85</v>
      </c>
      <c r="C94" s="30"/>
      <c r="D94" s="30"/>
      <c r="E94" s="30"/>
      <c r="F94" s="43"/>
      <c r="G94" s="43"/>
      <c r="H94" s="17"/>
      <c r="I94" s="67" t="str">
        <f>IF(H94&lt;&gt;"",H94*Supuestos!$C$11,"")</f>
        <v/>
      </c>
      <c r="J94" s="67" t="str">
        <f>IF(H94&lt;&gt;"",H94*Supuestos!$C$12*Supuestos!$C$13,"")</f>
        <v/>
      </c>
      <c r="K94" s="67" t="str">
        <f>IF(H94&lt;&gt;"",H94*Supuestos!$C$14,"")</f>
        <v/>
      </c>
      <c r="L94" s="68" t="str">
        <f t="shared" si="8"/>
        <v/>
      </c>
      <c r="M94" s="17"/>
      <c r="N94" s="68" t="str">
        <f t="shared" si="9"/>
        <v/>
      </c>
      <c r="O94" s="69" t="str">
        <f t="shared" ca="1" si="10"/>
        <v/>
      </c>
      <c r="P94" s="70" t="str">
        <f t="shared" ca="1" si="11"/>
        <v/>
      </c>
      <c r="Q94" s="71"/>
    </row>
    <row r="95" spans="2:17" ht="15.75" customHeight="1" x14ac:dyDescent="0.2">
      <c r="B95" s="72">
        <v>86</v>
      </c>
      <c r="C95" s="30"/>
      <c r="D95" s="30"/>
      <c r="E95" s="30"/>
      <c r="F95" s="43"/>
      <c r="G95" s="43"/>
      <c r="H95" s="17"/>
      <c r="I95" s="73" t="str">
        <f>IF(H95&lt;&gt;"",H95*Supuestos!$C$11,"")</f>
        <v/>
      </c>
      <c r="J95" s="73" t="str">
        <f>IF(H95&lt;&gt;"",H95*Supuestos!$C$12*Supuestos!$C$13,"")</f>
        <v/>
      </c>
      <c r="K95" s="73" t="str">
        <f>IF(H95&lt;&gt;"",H95*Supuestos!$C$14,"")</f>
        <v/>
      </c>
      <c r="L95" s="32" t="str">
        <f t="shared" si="8"/>
        <v/>
      </c>
      <c r="M95" s="17"/>
      <c r="N95" s="32" t="str">
        <f t="shared" si="9"/>
        <v/>
      </c>
      <c r="O95" s="74" t="str">
        <f t="shared" ca="1" si="10"/>
        <v/>
      </c>
      <c r="P95" s="75" t="str">
        <f t="shared" ca="1" si="11"/>
        <v/>
      </c>
      <c r="Q95" s="71"/>
    </row>
    <row r="96" spans="2:17" ht="15.75" customHeight="1" x14ac:dyDescent="0.2">
      <c r="B96" s="66">
        <v>87</v>
      </c>
      <c r="C96" s="30"/>
      <c r="D96" s="30"/>
      <c r="E96" s="30"/>
      <c r="F96" s="43"/>
      <c r="G96" s="43"/>
      <c r="H96" s="17"/>
      <c r="I96" s="67" t="str">
        <f>IF(H96&lt;&gt;"",H96*Supuestos!$C$11,"")</f>
        <v/>
      </c>
      <c r="J96" s="67" t="str">
        <f>IF(H96&lt;&gt;"",H96*Supuestos!$C$12*Supuestos!$C$13,"")</f>
        <v/>
      </c>
      <c r="K96" s="67" t="str">
        <f>IF(H96&lt;&gt;"",H96*Supuestos!$C$14,"")</f>
        <v/>
      </c>
      <c r="L96" s="68" t="str">
        <f t="shared" si="8"/>
        <v/>
      </c>
      <c r="M96" s="17"/>
      <c r="N96" s="68" t="str">
        <f t="shared" si="9"/>
        <v/>
      </c>
      <c r="O96" s="69" t="str">
        <f t="shared" ca="1" si="10"/>
        <v/>
      </c>
      <c r="P96" s="70" t="str">
        <f t="shared" ca="1" si="11"/>
        <v/>
      </c>
      <c r="Q96" s="71"/>
    </row>
    <row r="97" spans="2:17" ht="15.75" customHeight="1" x14ac:dyDescent="0.2">
      <c r="B97" s="72">
        <v>88</v>
      </c>
      <c r="C97" s="30"/>
      <c r="D97" s="30"/>
      <c r="E97" s="30"/>
      <c r="F97" s="43"/>
      <c r="G97" s="43"/>
      <c r="H97" s="17"/>
      <c r="I97" s="73" t="str">
        <f>IF(H97&lt;&gt;"",H97*Supuestos!$C$11,"")</f>
        <v/>
      </c>
      <c r="J97" s="73" t="str">
        <f>IF(H97&lt;&gt;"",H97*Supuestos!$C$12*Supuestos!$C$13,"")</f>
        <v/>
      </c>
      <c r="K97" s="73" t="str">
        <f>IF(H97&lt;&gt;"",H97*Supuestos!$C$14,"")</f>
        <v/>
      </c>
      <c r="L97" s="32" t="str">
        <f t="shared" si="8"/>
        <v/>
      </c>
      <c r="M97" s="17"/>
      <c r="N97" s="32" t="str">
        <f t="shared" si="9"/>
        <v/>
      </c>
      <c r="O97" s="74" t="str">
        <f t="shared" ca="1" si="10"/>
        <v/>
      </c>
      <c r="P97" s="75" t="str">
        <f t="shared" ca="1" si="11"/>
        <v/>
      </c>
      <c r="Q97" s="71"/>
    </row>
    <row r="98" spans="2:17" ht="15.75" customHeight="1" x14ac:dyDescent="0.2">
      <c r="B98" s="66">
        <v>89</v>
      </c>
      <c r="C98" s="30"/>
      <c r="D98" s="30"/>
      <c r="E98" s="30"/>
      <c r="F98" s="43"/>
      <c r="G98" s="43"/>
      <c r="H98" s="17"/>
      <c r="I98" s="67" t="str">
        <f>IF(H98&lt;&gt;"",H98*Supuestos!$C$11,"")</f>
        <v/>
      </c>
      <c r="J98" s="67" t="str">
        <f>IF(H98&lt;&gt;"",H98*Supuestos!$C$12*Supuestos!$C$13,"")</f>
        <v/>
      </c>
      <c r="K98" s="67" t="str">
        <f>IF(H98&lt;&gt;"",H98*Supuestos!$C$14,"")</f>
        <v/>
      </c>
      <c r="L98" s="68" t="str">
        <f t="shared" si="8"/>
        <v/>
      </c>
      <c r="M98" s="17"/>
      <c r="N98" s="68" t="str">
        <f t="shared" si="9"/>
        <v/>
      </c>
      <c r="O98" s="69" t="str">
        <f t="shared" ca="1" si="10"/>
        <v/>
      </c>
      <c r="P98" s="70" t="str">
        <f t="shared" ca="1" si="11"/>
        <v/>
      </c>
      <c r="Q98" s="71"/>
    </row>
    <row r="99" spans="2:17" ht="15.75" customHeight="1" x14ac:dyDescent="0.2">
      <c r="B99" s="72">
        <v>90</v>
      </c>
      <c r="C99" s="30"/>
      <c r="D99" s="30"/>
      <c r="E99" s="30"/>
      <c r="F99" s="43"/>
      <c r="G99" s="43"/>
      <c r="H99" s="17"/>
      <c r="I99" s="73" t="str">
        <f>IF(H99&lt;&gt;"",H99*Supuestos!$C$11,"")</f>
        <v/>
      </c>
      <c r="J99" s="73" t="str">
        <f>IF(H99&lt;&gt;"",H99*Supuestos!$C$12*Supuestos!$C$13,"")</f>
        <v/>
      </c>
      <c r="K99" s="73" t="str">
        <f>IF(H99&lt;&gt;"",H99*Supuestos!$C$14,"")</f>
        <v/>
      </c>
      <c r="L99" s="32" t="str">
        <f t="shared" si="8"/>
        <v/>
      </c>
      <c r="M99" s="17"/>
      <c r="N99" s="32" t="str">
        <f t="shared" si="9"/>
        <v/>
      </c>
      <c r="O99" s="74" t="str">
        <f t="shared" ca="1" si="10"/>
        <v/>
      </c>
      <c r="P99" s="75" t="str">
        <f t="shared" ca="1" si="11"/>
        <v/>
      </c>
      <c r="Q99" s="71"/>
    </row>
    <row r="100" spans="2:17" ht="15.75" customHeight="1" x14ac:dyDescent="0.2">
      <c r="B100" s="66">
        <v>91</v>
      </c>
      <c r="C100" s="30"/>
      <c r="D100" s="30"/>
      <c r="E100" s="30"/>
      <c r="F100" s="43"/>
      <c r="G100" s="43"/>
      <c r="H100" s="17"/>
      <c r="I100" s="67" t="str">
        <f>IF(H100&lt;&gt;"",H100*Supuestos!$C$11,"")</f>
        <v/>
      </c>
      <c r="J100" s="67" t="str">
        <f>IF(H100&lt;&gt;"",H100*Supuestos!$C$12*Supuestos!$C$13,"")</f>
        <v/>
      </c>
      <c r="K100" s="67" t="str">
        <f>IF(H100&lt;&gt;"",H100*Supuestos!$C$14,"")</f>
        <v/>
      </c>
      <c r="L100" s="68" t="str">
        <f t="shared" si="8"/>
        <v/>
      </c>
      <c r="M100" s="17"/>
      <c r="N100" s="68" t="str">
        <f t="shared" si="9"/>
        <v/>
      </c>
      <c r="O100" s="69" t="str">
        <f t="shared" ca="1" si="10"/>
        <v/>
      </c>
      <c r="P100" s="70" t="str">
        <f t="shared" ca="1" si="11"/>
        <v/>
      </c>
      <c r="Q100" s="71"/>
    </row>
    <row r="101" spans="2:17" ht="15.75" customHeight="1" x14ac:dyDescent="0.2">
      <c r="B101" s="72">
        <v>92</v>
      </c>
      <c r="C101" s="30"/>
      <c r="D101" s="30"/>
      <c r="E101" s="30"/>
      <c r="F101" s="43"/>
      <c r="G101" s="43"/>
      <c r="H101" s="17"/>
      <c r="I101" s="73" t="str">
        <f>IF(H101&lt;&gt;"",H101*Supuestos!$C$11,"")</f>
        <v/>
      </c>
      <c r="J101" s="73" t="str">
        <f>IF(H101&lt;&gt;"",H101*Supuestos!$C$12*Supuestos!$C$13,"")</f>
        <v/>
      </c>
      <c r="K101" s="73" t="str">
        <f>IF(H101&lt;&gt;"",H101*Supuestos!$C$14,"")</f>
        <v/>
      </c>
      <c r="L101" s="32" t="str">
        <f t="shared" si="8"/>
        <v/>
      </c>
      <c r="M101" s="17"/>
      <c r="N101" s="32" t="str">
        <f t="shared" si="9"/>
        <v/>
      </c>
      <c r="O101" s="74" t="str">
        <f t="shared" ca="1" si="10"/>
        <v/>
      </c>
      <c r="P101" s="75" t="str">
        <f t="shared" ca="1" si="11"/>
        <v/>
      </c>
      <c r="Q101" s="71"/>
    </row>
    <row r="102" spans="2:17" ht="15.75" customHeight="1" x14ac:dyDescent="0.2">
      <c r="B102" s="66">
        <v>93</v>
      </c>
      <c r="C102" s="30"/>
      <c r="D102" s="30"/>
      <c r="E102" s="30"/>
      <c r="F102" s="43"/>
      <c r="G102" s="43"/>
      <c r="H102" s="17"/>
      <c r="I102" s="67" t="str">
        <f>IF(H102&lt;&gt;"",H102*Supuestos!$C$11,"")</f>
        <v/>
      </c>
      <c r="J102" s="67" t="str">
        <f>IF(H102&lt;&gt;"",H102*Supuestos!$C$12*Supuestos!$C$13,"")</f>
        <v/>
      </c>
      <c r="K102" s="67" t="str">
        <f>IF(H102&lt;&gt;"",H102*Supuestos!$C$14,"")</f>
        <v/>
      </c>
      <c r="L102" s="68" t="str">
        <f t="shared" si="8"/>
        <v/>
      </c>
      <c r="M102" s="17"/>
      <c r="N102" s="68" t="str">
        <f t="shared" si="9"/>
        <v/>
      </c>
      <c r="O102" s="69" t="str">
        <f t="shared" ca="1" si="10"/>
        <v/>
      </c>
      <c r="P102" s="70" t="str">
        <f t="shared" ca="1" si="11"/>
        <v/>
      </c>
      <c r="Q102" s="71"/>
    </row>
    <row r="103" spans="2:17" ht="15.75" customHeight="1" x14ac:dyDescent="0.2">
      <c r="B103" s="72">
        <v>94</v>
      </c>
      <c r="C103" s="30"/>
      <c r="D103" s="30"/>
      <c r="E103" s="30"/>
      <c r="F103" s="43"/>
      <c r="G103" s="43"/>
      <c r="H103" s="17"/>
      <c r="I103" s="73" t="str">
        <f>IF(H103&lt;&gt;"",H103*Supuestos!$C$11,"")</f>
        <v/>
      </c>
      <c r="J103" s="73" t="str">
        <f>IF(H103&lt;&gt;"",H103*Supuestos!$C$12*Supuestos!$C$13,"")</f>
        <v/>
      </c>
      <c r="K103" s="73" t="str">
        <f>IF(H103&lt;&gt;"",H103*Supuestos!$C$14,"")</f>
        <v/>
      </c>
      <c r="L103" s="32" t="str">
        <f t="shared" si="8"/>
        <v/>
      </c>
      <c r="M103" s="17"/>
      <c r="N103" s="32" t="str">
        <f t="shared" si="9"/>
        <v/>
      </c>
      <c r="O103" s="74" t="str">
        <f t="shared" ca="1" si="10"/>
        <v/>
      </c>
      <c r="P103" s="75" t="str">
        <f t="shared" ca="1" si="11"/>
        <v/>
      </c>
      <c r="Q103" s="71"/>
    </row>
    <row r="104" spans="2:17" ht="15.75" customHeight="1" x14ac:dyDescent="0.2">
      <c r="B104" s="66">
        <v>95</v>
      </c>
      <c r="C104" s="30"/>
      <c r="D104" s="30"/>
      <c r="E104" s="30"/>
      <c r="F104" s="43"/>
      <c r="G104" s="43"/>
      <c r="H104" s="17"/>
      <c r="I104" s="67" t="str">
        <f>IF(H104&lt;&gt;"",H104*Supuestos!$C$11,"")</f>
        <v/>
      </c>
      <c r="J104" s="67" t="str">
        <f>IF(H104&lt;&gt;"",H104*Supuestos!$C$12*Supuestos!$C$13,"")</f>
        <v/>
      </c>
      <c r="K104" s="67" t="str">
        <f>IF(H104&lt;&gt;"",H104*Supuestos!$C$14,"")</f>
        <v/>
      </c>
      <c r="L104" s="68" t="str">
        <f t="shared" si="8"/>
        <v/>
      </c>
      <c r="M104" s="17"/>
      <c r="N104" s="68" t="str">
        <f t="shared" si="9"/>
        <v/>
      </c>
      <c r="O104" s="69" t="str">
        <f t="shared" ca="1" si="10"/>
        <v/>
      </c>
      <c r="P104" s="70" t="str">
        <f t="shared" ca="1" si="11"/>
        <v/>
      </c>
      <c r="Q104" s="71"/>
    </row>
    <row r="105" spans="2:17" ht="15.75" customHeight="1" x14ac:dyDescent="0.2">
      <c r="B105" s="72">
        <v>96</v>
      </c>
      <c r="C105" s="30"/>
      <c r="D105" s="30"/>
      <c r="E105" s="30"/>
      <c r="F105" s="43"/>
      <c r="G105" s="43"/>
      <c r="H105" s="17"/>
      <c r="I105" s="73" t="str">
        <f>IF(H105&lt;&gt;"",H105*Supuestos!$C$11,"")</f>
        <v/>
      </c>
      <c r="J105" s="73" t="str">
        <f>IF(H105&lt;&gt;"",H105*Supuestos!$C$12*Supuestos!$C$13,"")</f>
        <v/>
      </c>
      <c r="K105" s="73" t="str">
        <f>IF(H105&lt;&gt;"",H105*Supuestos!$C$14,"")</f>
        <v/>
      </c>
      <c r="L105" s="32" t="str">
        <f t="shared" si="8"/>
        <v/>
      </c>
      <c r="M105" s="17"/>
      <c r="N105" s="32" t="str">
        <f t="shared" si="9"/>
        <v/>
      </c>
      <c r="O105" s="74" t="str">
        <f t="shared" ca="1" si="10"/>
        <v/>
      </c>
      <c r="P105" s="75" t="str">
        <f t="shared" ca="1" si="11"/>
        <v/>
      </c>
      <c r="Q105" s="71"/>
    </row>
    <row r="106" spans="2:17" ht="15.75" customHeight="1" x14ac:dyDescent="0.2">
      <c r="B106" s="66">
        <v>97</v>
      </c>
      <c r="C106" s="30"/>
      <c r="D106" s="30"/>
      <c r="E106" s="30"/>
      <c r="F106" s="43"/>
      <c r="G106" s="43"/>
      <c r="H106" s="17"/>
      <c r="I106" s="67" t="str">
        <f>IF(H106&lt;&gt;"",H106*Supuestos!$C$11,"")</f>
        <v/>
      </c>
      <c r="J106" s="67" t="str">
        <f>IF(H106&lt;&gt;"",H106*Supuestos!$C$12*Supuestos!$C$13,"")</f>
        <v/>
      </c>
      <c r="K106" s="67" t="str">
        <f>IF(H106&lt;&gt;"",H106*Supuestos!$C$14,"")</f>
        <v/>
      </c>
      <c r="L106" s="68" t="str">
        <f t="shared" ref="L106:L137" si="12">IF(H106&lt;&gt;"",H106+I106-J106-K106,"")</f>
        <v/>
      </c>
      <c r="M106" s="17"/>
      <c r="N106" s="68" t="str">
        <f t="shared" ref="N106:N137" si="13">IF(H106&lt;&gt;"",IF(M106&lt;&gt;"",L106-M106,L106),"")</f>
        <v/>
      </c>
      <c r="O106" s="69" t="str">
        <f t="shared" ref="O106:O137" ca="1" si="14">IF(AND(H106&lt;&gt;"",N106&gt;0,G106&lt;&gt;""),MAX(TODAY()-G106,0),"")</f>
        <v/>
      </c>
      <c r="P106" s="70" t="str">
        <f t="shared" ref="P106:P137" ca="1" si="15">IF(H106="","",IF(N106&lt;=0,"COBRADA",IF(G106="","VIGENTE",IF(TODAY()&lt;=G106,"VIGENTE",IF(TODAY()-G106&lt;=30,"VENCIDA",IF(TODAY()-G106&lt;=90,"CRÍTICA","CASTIGAR"))))))</f>
        <v/>
      </c>
      <c r="Q106" s="71"/>
    </row>
    <row r="107" spans="2:17" ht="15.75" customHeight="1" x14ac:dyDescent="0.2">
      <c r="B107" s="72">
        <v>98</v>
      </c>
      <c r="C107" s="30"/>
      <c r="D107" s="30"/>
      <c r="E107" s="30"/>
      <c r="F107" s="43"/>
      <c r="G107" s="43"/>
      <c r="H107" s="17"/>
      <c r="I107" s="73" t="str">
        <f>IF(H107&lt;&gt;"",H107*Supuestos!$C$11,"")</f>
        <v/>
      </c>
      <c r="J107" s="73" t="str">
        <f>IF(H107&lt;&gt;"",H107*Supuestos!$C$12*Supuestos!$C$13,"")</f>
        <v/>
      </c>
      <c r="K107" s="73" t="str">
        <f>IF(H107&lt;&gt;"",H107*Supuestos!$C$14,"")</f>
        <v/>
      </c>
      <c r="L107" s="32" t="str">
        <f t="shared" si="12"/>
        <v/>
      </c>
      <c r="M107" s="17"/>
      <c r="N107" s="32" t="str">
        <f t="shared" si="13"/>
        <v/>
      </c>
      <c r="O107" s="74" t="str">
        <f t="shared" ca="1" si="14"/>
        <v/>
      </c>
      <c r="P107" s="75" t="str">
        <f t="shared" ca="1" si="15"/>
        <v/>
      </c>
      <c r="Q107" s="71"/>
    </row>
    <row r="108" spans="2:17" ht="15.75" customHeight="1" x14ac:dyDescent="0.2">
      <c r="B108" s="66">
        <v>99</v>
      </c>
      <c r="C108" s="30"/>
      <c r="D108" s="30"/>
      <c r="E108" s="30"/>
      <c r="F108" s="43"/>
      <c r="G108" s="43"/>
      <c r="H108" s="17"/>
      <c r="I108" s="67" t="str">
        <f>IF(H108&lt;&gt;"",H108*Supuestos!$C$11,"")</f>
        <v/>
      </c>
      <c r="J108" s="67" t="str">
        <f>IF(H108&lt;&gt;"",H108*Supuestos!$C$12*Supuestos!$C$13,"")</f>
        <v/>
      </c>
      <c r="K108" s="67" t="str">
        <f>IF(H108&lt;&gt;"",H108*Supuestos!$C$14,"")</f>
        <v/>
      </c>
      <c r="L108" s="68" t="str">
        <f t="shared" si="12"/>
        <v/>
      </c>
      <c r="M108" s="17"/>
      <c r="N108" s="68" t="str">
        <f t="shared" si="13"/>
        <v/>
      </c>
      <c r="O108" s="69" t="str">
        <f t="shared" ca="1" si="14"/>
        <v/>
      </c>
      <c r="P108" s="70" t="str">
        <f t="shared" ca="1" si="15"/>
        <v/>
      </c>
      <c r="Q108" s="71"/>
    </row>
    <row r="109" spans="2:17" ht="15.75" customHeight="1" x14ac:dyDescent="0.2">
      <c r="B109" s="72">
        <v>100</v>
      </c>
      <c r="C109" s="30"/>
      <c r="D109" s="30"/>
      <c r="E109" s="30"/>
      <c r="F109" s="43"/>
      <c r="G109" s="43"/>
      <c r="H109" s="17"/>
      <c r="I109" s="73" t="str">
        <f>IF(H109&lt;&gt;"",H109*Supuestos!$C$11,"")</f>
        <v/>
      </c>
      <c r="J109" s="73" t="str">
        <f>IF(H109&lt;&gt;"",H109*Supuestos!$C$12*Supuestos!$C$13,"")</f>
        <v/>
      </c>
      <c r="K109" s="73" t="str">
        <f>IF(H109&lt;&gt;"",H109*Supuestos!$C$14,"")</f>
        <v/>
      </c>
      <c r="L109" s="32" t="str">
        <f t="shared" si="12"/>
        <v/>
      </c>
      <c r="M109" s="17"/>
      <c r="N109" s="32" t="str">
        <f t="shared" si="13"/>
        <v/>
      </c>
      <c r="O109" s="74" t="str">
        <f t="shared" ca="1" si="14"/>
        <v/>
      </c>
      <c r="P109" s="75" t="str">
        <f t="shared" ca="1" si="15"/>
        <v/>
      </c>
      <c r="Q109" s="71"/>
    </row>
    <row r="110" spans="2:17" ht="15.75" customHeight="1" x14ac:dyDescent="0.2">
      <c r="B110" s="66">
        <v>101</v>
      </c>
      <c r="C110" s="30"/>
      <c r="D110" s="30"/>
      <c r="E110" s="30"/>
      <c r="F110" s="43"/>
      <c r="G110" s="43"/>
      <c r="H110" s="17"/>
      <c r="I110" s="67" t="str">
        <f>IF(H110&lt;&gt;"",H110*Supuestos!$C$11,"")</f>
        <v/>
      </c>
      <c r="J110" s="67" t="str">
        <f>IF(H110&lt;&gt;"",H110*Supuestos!$C$12*Supuestos!$C$13,"")</f>
        <v/>
      </c>
      <c r="K110" s="67" t="str">
        <f>IF(H110&lt;&gt;"",H110*Supuestos!$C$14,"")</f>
        <v/>
      </c>
      <c r="L110" s="68" t="str">
        <f t="shared" si="12"/>
        <v/>
      </c>
      <c r="M110" s="17"/>
      <c r="N110" s="68" t="str">
        <f t="shared" si="13"/>
        <v/>
      </c>
      <c r="O110" s="69" t="str">
        <f t="shared" ca="1" si="14"/>
        <v/>
      </c>
      <c r="P110" s="70" t="str">
        <f t="shared" ca="1" si="15"/>
        <v/>
      </c>
      <c r="Q110" s="71"/>
    </row>
    <row r="111" spans="2:17" ht="15.75" customHeight="1" x14ac:dyDescent="0.2">
      <c r="B111" s="72">
        <v>102</v>
      </c>
      <c r="C111" s="30"/>
      <c r="D111" s="30"/>
      <c r="E111" s="30"/>
      <c r="F111" s="43"/>
      <c r="G111" s="43"/>
      <c r="H111" s="17"/>
      <c r="I111" s="73" t="str">
        <f>IF(H111&lt;&gt;"",H111*Supuestos!$C$11,"")</f>
        <v/>
      </c>
      <c r="J111" s="73" t="str">
        <f>IF(H111&lt;&gt;"",H111*Supuestos!$C$12*Supuestos!$C$13,"")</f>
        <v/>
      </c>
      <c r="K111" s="73" t="str">
        <f>IF(H111&lt;&gt;"",H111*Supuestos!$C$14,"")</f>
        <v/>
      </c>
      <c r="L111" s="32" t="str">
        <f t="shared" si="12"/>
        <v/>
      </c>
      <c r="M111" s="17"/>
      <c r="N111" s="32" t="str">
        <f t="shared" si="13"/>
        <v/>
      </c>
      <c r="O111" s="74" t="str">
        <f t="shared" ca="1" si="14"/>
        <v/>
      </c>
      <c r="P111" s="75" t="str">
        <f t="shared" ca="1" si="15"/>
        <v/>
      </c>
      <c r="Q111" s="71"/>
    </row>
    <row r="112" spans="2:17" ht="15.75" customHeight="1" x14ac:dyDescent="0.2">
      <c r="B112" s="66">
        <v>103</v>
      </c>
      <c r="C112" s="30"/>
      <c r="D112" s="30"/>
      <c r="E112" s="30"/>
      <c r="F112" s="43"/>
      <c r="G112" s="43"/>
      <c r="H112" s="17"/>
      <c r="I112" s="67" t="str">
        <f>IF(H112&lt;&gt;"",H112*Supuestos!$C$11,"")</f>
        <v/>
      </c>
      <c r="J112" s="67" t="str">
        <f>IF(H112&lt;&gt;"",H112*Supuestos!$C$12*Supuestos!$C$13,"")</f>
        <v/>
      </c>
      <c r="K112" s="67" t="str">
        <f>IF(H112&lt;&gt;"",H112*Supuestos!$C$14,"")</f>
        <v/>
      </c>
      <c r="L112" s="68" t="str">
        <f t="shared" si="12"/>
        <v/>
      </c>
      <c r="M112" s="17"/>
      <c r="N112" s="68" t="str">
        <f t="shared" si="13"/>
        <v/>
      </c>
      <c r="O112" s="69" t="str">
        <f t="shared" ca="1" si="14"/>
        <v/>
      </c>
      <c r="P112" s="70" t="str">
        <f t="shared" ca="1" si="15"/>
        <v/>
      </c>
      <c r="Q112" s="71"/>
    </row>
    <row r="113" spans="2:17" ht="15.75" customHeight="1" x14ac:dyDescent="0.2">
      <c r="B113" s="72">
        <v>104</v>
      </c>
      <c r="C113" s="30"/>
      <c r="D113" s="30"/>
      <c r="E113" s="30"/>
      <c r="F113" s="43"/>
      <c r="G113" s="43"/>
      <c r="H113" s="17"/>
      <c r="I113" s="73" t="str">
        <f>IF(H113&lt;&gt;"",H113*Supuestos!$C$11,"")</f>
        <v/>
      </c>
      <c r="J113" s="73" t="str">
        <f>IF(H113&lt;&gt;"",H113*Supuestos!$C$12*Supuestos!$C$13,"")</f>
        <v/>
      </c>
      <c r="K113" s="73" t="str">
        <f>IF(H113&lt;&gt;"",H113*Supuestos!$C$14,"")</f>
        <v/>
      </c>
      <c r="L113" s="32" t="str">
        <f t="shared" si="12"/>
        <v/>
      </c>
      <c r="M113" s="17"/>
      <c r="N113" s="32" t="str">
        <f t="shared" si="13"/>
        <v/>
      </c>
      <c r="O113" s="74" t="str">
        <f t="shared" ca="1" si="14"/>
        <v/>
      </c>
      <c r="P113" s="75" t="str">
        <f t="shared" ca="1" si="15"/>
        <v/>
      </c>
      <c r="Q113" s="71"/>
    </row>
    <row r="114" spans="2:17" ht="15.75" customHeight="1" x14ac:dyDescent="0.2">
      <c r="B114" s="66">
        <v>105</v>
      </c>
      <c r="C114" s="30"/>
      <c r="D114" s="30"/>
      <c r="E114" s="30"/>
      <c r="F114" s="43"/>
      <c r="G114" s="43"/>
      <c r="H114" s="17"/>
      <c r="I114" s="67" t="str">
        <f>IF(H114&lt;&gt;"",H114*Supuestos!$C$11,"")</f>
        <v/>
      </c>
      <c r="J114" s="67" t="str">
        <f>IF(H114&lt;&gt;"",H114*Supuestos!$C$12*Supuestos!$C$13,"")</f>
        <v/>
      </c>
      <c r="K114" s="67" t="str">
        <f>IF(H114&lt;&gt;"",H114*Supuestos!$C$14,"")</f>
        <v/>
      </c>
      <c r="L114" s="68" t="str">
        <f t="shared" si="12"/>
        <v/>
      </c>
      <c r="M114" s="17"/>
      <c r="N114" s="68" t="str">
        <f t="shared" si="13"/>
        <v/>
      </c>
      <c r="O114" s="69" t="str">
        <f t="shared" ca="1" si="14"/>
        <v/>
      </c>
      <c r="P114" s="70" t="str">
        <f t="shared" ca="1" si="15"/>
        <v/>
      </c>
      <c r="Q114" s="71"/>
    </row>
    <row r="115" spans="2:17" ht="15.75" customHeight="1" x14ac:dyDescent="0.2">
      <c r="B115" s="72">
        <v>106</v>
      </c>
      <c r="C115" s="30"/>
      <c r="D115" s="30"/>
      <c r="E115" s="30"/>
      <c r="F115" s="43"/>
      <c r="G115" s="43"/>
      <c r="H115" s="17"/>
      <c r="I115" s="73" t="str">
        <f>IF(H115&lt;&gt;"",H115*Supuestos!$C$11,"")</f>
        <v/>
      </c>
      <c r="J115" s="73" t="str">
        <f>IF(H115&lt;&gt;"",H115*Supuestos!$C$12*Supuestos!$C$13,"")</f>
        <v/>
      </c>
      <c r="K115" s="73" t="str">
        <f>IF(H115&lt;&gt;"",H115*Supuestos!$C$14,"")</f>
        <v/>
      </c>
      <c r="L115" s="32" t="str">
        <f t="shared" si="12"/>
        <v/>
      </c>
      <c r="M115" s="17"/>
      <c r="N115" s="32" t="str">
        <f t="shared" si="13"/>
        <v/>
      </c>
      <c r="O115" s="74" t="str">
        <f t="shared" ca="1" si="14"/>
        <v/>
      </c>
      <c r="P115" s="75" t="str">
        <f t="shared" ca="1" si="15"/>
        <v/>
      </c>
      <c r="Q115" s="71"/>
    </row>
    <row r="116" spans="2:17" ht="15.75" customHeight="1" x14ac:dyDescent="0.2">
      <c r="B116" s="66">
        <v>107</v>
      </c>
      <c r="C116" s="30"/>
      <c r="D116" s="30"/>
      <c r="E116" s="30"/>
      <c r="F116" s="43"/>
      <c r="G116" s="43"/>
      <c r="H116" s="17"/>
      <c r="I116" s="67" t="str">
        <f>IF(H116&lt;&gt;"",H116*Supuestos!$C$11,"")</f>
        <v/>
      </c>
      <c r="J116" s="67" t="str">
        <f>IF(H116&lt;&gt;"",H116*Supuestos!$C$12*Supuestos!$C$13,"")</f>
        <v/>
      </c>
      <c r="K116" s="67" t="str">
        <f>IF(H116&lt;&gt;"",H116*Supuestos!$C$14,"")</f>
        <v/>
      </c>
      <c r="L116" s="68" t="str">
        <f t="shared" si="12"/>
        <v/>
      </c>
      <c r="M116" s="17"/>
      <c r="N116" s="68" t="str">
        <f t="shared" si="13"/>
        <v/>
      </c>
      <c r="O116" s="69" t="str">
        <f t="shared" ca="1" si="14"/>
        <v/>
      </c>
      <c r="P116" s="70" t="str">
        <f t="shared" ca="1" si="15"/>
        <v/>
      </c>
      <c r="Q116" s="71"/>
    </row>
    <row r="117" spans="2:17" ht="15.75" customHeight="1" x14ac:dyDescent="0.2">
      <c r="B117" s="72">
        <v>108</v>
      </c>
      <c r="C117" s="30"/>
      <c r="D117" s="30"/>
      <c r="E117" s="30"/>
      <c r="F117" s="43"/>
      <c r="G117" s="43"/>
      <c r="H117" s="17"/>
      <c r="I117" s="73" t="str">
        <f>IF(H117&lt;&gt;"",H117*Supuestos!$C$11,"")</f>
        <v/>
      </c>
      <c r="J117" s="73" t="str">
        <f>IF(H117&lt;&gt;"",H117*Supuestos!$C$12*Supuestos!$C$13,"")</f>
        <v/>
      </c>
      <c r="K117" s="73" t="str">
        <f>IF(H117&lt;&gt;"",H117*Supuestos!$C$14,"")</f>
        <v/>
      </c>
      <c r="L117" s="32" t="str">
        <f t="shared" si="12"/>
        <v/>
      </c>
      <c r="M117" s="17"/>
      <c r="N117" s="32" t="str">
        <f t="shared" si="13"/>
        <v/>
      </c>
      <c r="O117" s="74" t="str">
        <f t="shared" ca="1" si="14"/>
        <v/>
      </c>
      <c r="P117" s="75" t="str">
        <f t="shared" ca="1" si="15"/>
        <v/>
      </c>
      <c r="Q117" s="71"/>
    </row>
    <row r="118" spans="2:17" ht="15.75" customHeight="1" x14ac:dyDescent="0.2">
      <c r="B118" s="66">
        <v>109</v>
      </c>
      <c r="C118" s="30"/>
      <c r="D118" s="30"/>
      <c r="E118" s="30"/>
      <c r="F118" s="43"/>
      <c r="G118" s="43"/>
      <c r="H118" s="17"/>
      <c r="I118" s="67" t="str">
        <f>IF(H118&lt;&gt;"",H118*Supuestos!$C$11,"")</f>
        <v/>
      </c>
      <c r="J118" s="67" t="str">
        <f>IF(H118&lt;&gt;"",H118*Supuestos!$C$12*Supuestos!$C$13,"")</f>
        <v/>
      </c>
      <c r="K118" s="67" t="str">
        <f>IF(H118&lt;&gt;"",H118*Supuestos!$C$14,"")</f>
        <v/>
      </c>
      <c r="L118" s="68" t="str">
        <f t="shared" si="12"/>
        <v/>
      </c>
      <c r="M118" s="17"/>
      <c r="N118" s="68" t="str">
        <f t="shared" si="13"/>
        <v/>
      </c>
      <c r="O118" s="69" t="str">
        <f t="shared" ca="1" si="14"/>
        <v/>
      </c>
      <c r="P118" s="70" t="str">
        <f t="shared" ca="1" si="15"/>
        <v/>
      </c>
      <c r="Q118" s="71"/>
    </row>
    <row r="119" spans="2:17" ht="15.75" customHeight="1" x14ac:dyDescent="0.2">
      <c r="B119" s="72">
        <v>110</v>
      </c>
      <c r="C119" s="30"/>
      <c r="D119" s="30"/>
      <c r="E119" s="30"/>
      <c r="F119" s="43"/>
      <c r="G119" s="43"/>
      <c r="H119" s="17"/>
      <c r="I119" s="73" t="str">
        <f>IF(H119&lt;&gt;"",H119*Supuestos!$C$11,"")</f>
        <v/>
      </c>
      <c r="J119" s="73" t="str">
        <f>IF(H119&lt;&gt;"",H119*Supuestos!$C$12*Supuestos!$C$13,"")</f>
        <v/>
      </c>
      <c r="K119" s="73" t="str">
        <f>IF(H119&lt;&gt;"",H119*Supuestos!$C$14,"")</f>
        <v/>
      </c>
      <c r="L119" s="32" t="str">
        <f t="shared" si="12"/>
        <v/>
      </c>
      <c r="M119" s="17"/>
      <c r="N119" s="32" t="str">
        <f t="shared" si="13"/>
        <v/>
      </c>
      <c r="O119" s="74" t="str">
        <f t="shared" ca="1" si="14"/>
        <v/>
      </c>
      <c r="P119" s="75" t="str">
        <f t="shared" ca="1" si="15"/>
        <v/>
      </c>
      <c r="Q119" s="71"/>
    </row>
    <row r="120" spans="2:17" ht="15.75" customHeight="1" x14ac:dyDescent="0.2">
      <c r="B120" s="66">
        <v>111</v>
      </c>
      <c r="C120" s="30"/>
      <c r="D120" s="30"/>
      <c r="E120" s="30"/>
      <c r="F120" s="43"/>
      <c r="G120" s="43"/>
      <c r="H120" s="17"/>
      <c r="I120" s="67" t="str">
        <f>IF(H120&lt;&gt;"",H120*Supuestos!$C$11,"")</f>
        <v/>
      </c>
      <c r="J120" s="67" t="str">
        <f>IF(H120&lt;&gt;"",H120*Supuestos!$C$12*Supuestos!$C$13,"")</f>
        <v/>
      </c>
      <c r="K120" s="67" t="str">
        <f>IF(H120&lt;&gt;"",H120*Supuestos!$C$14,"")</f>
        <v/>
      </c>
      <c r="L120" s="68" t="str">
        <f t="shared" si="12"/>
        <v/>
      </c>
      <c r="M120" s="17"/>
      <c r="N120" s="68" t="str">
        <f t="shared" si="13"/>
        <v/>
      </c>
      <c r="O120" s="69" t="str">
        <f t="shared" ca="1" si="14"/>
        <v/>
      </c>
      <c r="P120" s="70" t="str">
        <f t="shared" ca="1" si="15"/>
        <v/>
      </c>
      <c r="Q120" s="71"/>
    </row>
    <row r="121" spans="2:17" ht="15.75" customHeight="1" x14ac:dyDescent="0.2">
      <c r="B121" s="72">
        <v>112</v>
      </c>
      <c r="C121" s="30"/>
      <c r="D121" s="30"/>
      <c r="E121" s="30"/>
      <c r="F121" s="43"/>
      <c r="G121" s="43"/>
      <c r="H121" s="17"/>
      <c r="I121" s="73" t="str">
        <f>IF(H121&lt;&gt;"",H121*Supuestos!$C$11,"")</f>
        <v/>
      </c>
      <c r="J121" s="73" t="str">
        <f>IF(H121&lt;&gt;"",H121*Supuestos!$C$12*Supuestos!$C$13,"")</f>
        <v/>
      </c>
      <c r="K121" s="73" t="str">
        <f>IF(H121&lt;&gt;"",H121*Supuestos!$C$14,"")</f>
        <v/>
      </c>
      <c r="L121" s="32" t="str">
        <f t="shared" si="12"/>
        <v/>
      </c>
      <c r="M121" s="17"/>
      <c r="N121" s="32" t="str">
        <f t="shared" si="13"/>
        <v/>
      </c>
      <c r="O121" s="74" t="str">
        <f t="shared" ca="1" si="14"/>
        <v/>
      </c>
      <c r="P121" s="75" t="str">
        <f t="shared" ca="1" si="15"/>
        <v/>
      </c>
      <c r="Q121" s="71"/>
    </row>
    <row r="122" spans="2:17" ht="15.75" customHeight="1" x14ac:dyDescent="0.2">
      <c r="B122" s="66">
        <v>113</v>
      </c>
      <c r="C122" s="30"/>
      <c r="D122" s="30"/>
      <c r="E122" s="30"/>
      <c r="F122" s="43"/>
      <c r="G122" s="43"/>
      <c r="H122" s="17"/>
      <c r="I122" s="67" t="str">
        <f>IF(H122&lt;&gt;"",H122*Supuestos!$C$11,"")</f>
        <v/>
      </c>
      <c r="J122" s="67" t="str">
        <f>IF(H122&lt;&gt;"",H122*Supuestos!$C$12*Supuestos!$C$13,"")</f>
        <v/>
      </c>
      <c r="K122" s="67" t="str">
        <f>IF(H122&lt;&gt;"",H122*Supuestos!$C$14,"")</f>
        <v/>
      </c>
      <c r="L122" s="68" t="str">
        <f t="shared" si="12"/>
        <v/>
      </c>
      <c r="M122" s="17"/>
      <c r="N122" s="68" t="str">
        <f t="shared" si="13"/>
        <v/>
      </c>
      <c r="O122" s="69" t="str">
        <f t="shared" ca="1" si="14"/>
        <v/>
      </c>
      <c r="P122" s="70" t="str">
        <f t="shared" ca="1" si="15"/>
        <v/>
      </c>
      <c r="Q122" s="71"/>
    </row>
    <row r="123" spans="2:17" ht="15.75" customHeight="1" x14ac:dyDescent="0.2">
      <c r="B123" s="72">
        <v>114</v>
      </c>
      <c r="C123" s="30"/>
      <c r="D123" s="30"/>
      <c r="E123" s="30"/>
      <c r="F123" s="43"/>
      <c r="G123" s="43"/>
      <c r="H123" s="17"/>
      <c r="I123" s="73" t="str">
        <f>IF(H123&lt;&gt;"",H123*Supuestos!$C$11,"")</f>
        <v/>
      </c>
      <c r="J123" s="73" t="str">
        <f>IF(H123&lt;&gt;"",H123*Supuestos!$C$12*Supuestos!$C$13,"")</f>
        <v/>
      </c>
      <c r="K123" s="73" t="str">
        <f>IF(H123&lt;&gt;"",H123*Supuestos!$C$14,"")</f>
        <v/>
      </c>
      <c r="L123" s="32" t="str">
        <f t="shared" si="12"/>
        <v/>
      </c>
      <c r="M123" s="17"/>
      <c r="N123" s="32" t="str">
        <f t="shared" si="13"/>
        <v/>
      </c>
      <c r="O123" s="74" t="str">
        <f t="shared" ca="1" si="14"/>
        <v/>
      </c>
      <c r="P123" s="75" t="str">
        <f t="shared" ca="1" si="15"/>
        <v/>
      </c>
      <c r="Q123" s="71"/>
    </row>
    <row r="124" spans="2:17" ht="15.75" customHeight="1" x14ac:dyDescent="0.2">
      <c r="B124" s="66">
        <v>115</v>
      </c>
      <c r="C124" s="30"/>
      <c r="D124" s="30"/>
      <c r="E124" s="30"/>
      <c r="F124" s="43"/>
      <c r="G124" s="43"/>
      <c r="H124" s="17"/>
      <c r="I124" s="67" t="str">
        <f>IF(H124&lt;&gt;"",H124*Supuestos!$C$11,"")</f>
        <v/>
      </c>
      <c r="J124" s="67" t="str">
        <f>IF(H124&lt;&gt;"",H124*Supuestos!$C$12*Supuestos!$C$13,"")</f>
        <v/>
      </c>
      <c r="K124" s="67" t="str">
        <f>IF(H124&lt;&gt;"",H124*Supuestos!$C$14,"")</f>
        <v/>
      </c>
      <c r="L124" s="68" t="str">
        <f t="shared" si="12"/>
        <v/>
      </c>
      <c r="M124" s="17"/>
      <c r="N124" s="68" t="str">
        <f t="shared" si="13"/>
        <v/>
      </c>
      <c r="O124" s="69" t="str">
        <f t="shared" ca="1" si="14"/>
        <v/>
      </c>
      <c r="P124" s="70" t="str">
        <f t="shared" ca="1" si="15"/>
        <v/>
      </c>
      <c r="Q124" s="71"/>
    </row>
    <row r="125" spans="2:17" ht="15.75" customHeight="1" x14ac:dyDescent="0.2">
      <c r="B125" s="72">
        <v>116</v>
      </c>
      <c r="C125" s="30"/>
      <c r="D125" s="30"/>
      <c r="E125" s="30"/>
      <c r="F125" s="43"/>
      <c r="G125" s="43"/>
      <c r="H125" s="17"/>
      <c r="I125" s="73" t="str">
        <f>IF(H125&lt;&gt;"",H125*Supuestos!$C$11,"")</f>
        <v/>
      </c>
      <c r="J125" s="73" t="str">
        <f>IF(H125&lt;&gt;"",H125*Supuestos!$C$12*Supuestos!$C$13,"")</f>
        <v/>
      </c>
      <c r="K125" s="73" t="str">
        <f>IF(H125&lt;&gt;"",H125*Supuestos!$C$14,"")</f>
        <v/>
      </c>
      <c r="L125" s="32" t="str">
        <f t="shared" si="12"/>
        <v/>
      </c>
      <c r="M125" s="17"/>
      <c r="N125" s="32" t="str">
        <f t="shared" si="13"/>
        <v/>
      </c>
      <c r="O125" s="74" t="str">
        <f t="shared" ca="1" si="14"/>
        <v/>
      </c>
      <c r="P125" s="75" t="str">
        <f t="shared" ca="1" si="15"/>
        <v/>
      </c>
      <c r="Q125" s="71"/>
    </row>
    <row r="126" spans="2:17" ht="15.75" customHeight="1" x14ac:dyDescent="0.2">
      <c r="B126" s="66">
        <v>117</v>
      </c>
      <c r="C126" s="30"/>
      <c r="D126" s="30"/>
      <c r="E126" s="30"/>
      <c r="F126" s="43"/>
      <c r="G126" s="43"/>
      <c r="H126" s="17"/>
      <c r="I126" s="67" t="str">
        <f>IF(H126&lt;&gt;"",H126*Supuestos!$C$11,"")</f>
        <v/>
      </c>
      <c r="J126" s="67" t="str">
        <f>IF(H126&lt;&gt;"",H126*Supuestos!$C$12*Supuestos!$C$13,"")</f>
        <v/>
      </c>
      <c r="K126" s="67" t="str">
        <f>IF(H126&lt;&gt;"",H126*Supuestos!$C$14,"")</f>
        <v/>
      </c>
      <c r="L126" s="68" t="str">
        <f t="shared" si="12"/>
        <v/>
      </c>
      <c r="M126" s="17"/>
      <c r="N126" s="68" t="str">
        <f t="shared" si="13"/>
        <v/>
      </c>
      <c r="O126" s="69" t="str">
        <f t="shared" ca="1" si="14"/>
        <v/>
      </c>
      <c r="P126" s="70" t="str">
        <f t="shared" ca="1" si="15"/>
        <v/>
      </c>
      <c r="Q126" s="71"/>
    </row>
    <row r="127" spans="2:17" ht="15.75" customHeight="1" x14ac:dyDescent="0.2">
      <c r="B127" s="72">
        <v>118</v>
      </c>
      <c r="C127" s="30"/>
      <c r="D127" s="30"/>
      <c r="E127" s="30"/>
      <c r="F127" s="43"/>
      <c r="G127" s="43"/>
      <c r="H127" s="17"/>
      <c r="I127" s="73" t="str">
        <f>IF(H127&lt;&gt;"",H127*Supuestos!$C$11,"")</f>
        <v/>
      </c>
      <c r="J127" s="73" t="str">
        <f>IF(H127&lt;&gt;"",H127*Supuestos!$C$12*Supuestos!$C$13,"")</f>
        <v/>
      </c>
      <c r="K127" s="73" t="str">
        <f>IF(H127&lt;&gt;"",H127*Supuestos!$C$14,"")</f>
        <v/>
      </c>
      <c r="L127" s="32" t="str">
        <f t="shared" si="12"/>
        <v/>
      </c>
      <c r="M127" s="17"/>
      <c r="N127" s="32" t="str">
        <f t="shared" si="13"/>
        <v/>
      </c>
      <c r="O127" s="74" t="str">
        <f t="shared" ca="1" si="14"/>
        <v/>
      </c>
      <c r="P127" s="75" t="str">
        <f t="shared" ca="1" si="15"/>
        <v/>
      </c>
      <c r="Q127" s="71"/>
    </row>
    <row r="128" spans="2:17" ht="15.75" customHeight="1" x14ac:dyDescent="0.2">
      <c r="B128" s="66">
        <v>119</v>
      </c>
      <c r="C128" s="30"/>
      <c r="D128" s="30"/>
      <c r="E128" s="30"/>
      <c r="F128" s="43"/>
      <c r="G128" s="43"/>
      <c r="H128" s="17"/>
      <c r="I128" s="67" t="str">
        <f>IF(H128&lt;&gt;"",H128*Supuestos!$C$11,"")</f>
        <v/>
      </c>
      <c r="J128" s="67" t="str">
        <f>IF(H128&lt;&gt;"",H128*Supuestos!$C$12*Supuestos!$C$13,"")</f>
        <v/>
      </c>
      <c r="K128" s="67" t="str">
        <f>IF(H128&lt;&gt;"",H128*Supuestos!$C$14,"")</f>
        <v/>
      </c>
      <c r="L128" s="68" t="str">
        <f t="shared" si="12"/>
        <v/>
      </c>
      <c r="M128" s="17"/>
      <c r="N128" s="68" t="str">
        <f t="shared" si="13"/>
        <v/>
      </c>
      <c r="O128" s="69" t="str">
        <f t="shared" ca="1" si="14"/>
        <v/>
      </c>
      <c r="P128" s="70" t="str">
        <f t="shared" ca="1" si="15"/>
        <v/>
      </c>
      <c r="Q128" s="71"/>
    </row>
    <row r="129" spans="2:17" ht="15.75" customHeight="1" x14ac:dyDescent="0.2">
      <c r="B129" s="72">
        <v>120</v>
      </c>
      <c r="C129" s="30"/>
      <c r="D129" s="30"/>
      <c r="E129" s="30"/>
      <c r="F129" s="43"/>
      <c r="G129" s="43"/>
      <c r="H129" s="17"/>
      <c r="I129" s="73" t="str">
        <f>IF(H129&lt;&gt;"",H129*Supuestos!$C$11,"")</f>
        <v/>
      </c>
      <c r="J129" s="73" t="str">
        <f>IF(H129&lt;&gt;"",H129*Supuestos!$C$12*Supuestos!$C$13,"")</f>
        <v/>
      </c>
      <c r="K129" s="73" t="str">
        <f>IF(H129&lt;&gt;"",H129*Supuestos!$C$14,"")</f>
        <v/>
      </c>
      <c r="L129" s="32" t="str">
        <f t="shared" si="12"/>
        <v/>
      </c>
      <c r="M129" s="17"/>
      <c r="N129" s="32" t="str">
        <f t="shared" si="13"/>
        <v/>
      </c>
      <c r="O129" s="74" t="str">
        <f t="shared" ca="1" si="14"/>
        <v/>
      </c>
      <c r="P129" s="75" t="str">
        <f t="shared" ca="1" si="15"/>
        <v/>
      </c>
      <c r="Q129" s="71"/>
    </row>
    <row r="130" spans="2:17" ht="15.75" customHeight="1" x14ac:dyDescent="0.2">
      <c r="B130" s="66">
        <v>121</v>
      </c>
      <c r="C130" s="30"/>
      <c r="D130" s="30"/>
      <c r="E130" s="30"/>
      <c r="F130" s="43"/>
      <c r="G130" s="43"/>
      <c r="H130" s="17"/>
      <c r="I130" s="67" t="str">
        <f>IF(H130&lt;&gt;"",H130*Supuestos!$C$11,"")</f>
        <v/>
      </c>
      <c r="J130" s="67" t="str">
        <f>IF(H130&lt;&gt;"",H130*Supuestos!$C$12*Supuestos!$C$13,"")</f>
        <v/>
      </c>
      <c r="K130" s="67" t="str">
        <f>IF(H130&lt;&gt;"",H130*Supuestos!$C$14,"")</f>
        <v/>
      </c>
      <c r="L130" s="68" t="str">
        <f t="shared" si="12"/>
        <v/>
      </c>
      <c r="M130" s="17"/>
      <c r="N130" s="68" t="str">
        <f t="shared" si="13"/>
        <v/>
      </c>
      <c r="O130" s="69" t="str">
        <f t="shared" ca="1" si="14"/>
        <v/>
      </c>
      <c r="P130" s="70" t="str">
        <f t="shared" ca="1" si="15"/>
        <v/>
      </c>
      <c r="Q130" s="71"/>
    </row>
    <row r="131" spans="2:17" ht="15.75" customHeight="1" x14ac:dyDescent="0.2">
      <c r="B131" s="72">
        <v>122</v>
      </c>
      <c r="C131" s="30"/>
      <c r="D131" s="30"/>
      <c r="E131" s="30"/>
      <c r="F131" s="43"/>
      <c r="G131" s="43"/>
      <c r="H131" s="17"/>
      <c r="I131" s="73" t="str">
        <f>IF(H131&lt;&gt;"",H131*Supuestos!$C$11,"")</f>
        <v/>
      </c>
      <c r="J131" s="73" t="str">
        <f>IF(H131&lt;&gt;"",H131*Supuestos!$C$12*Supuestos!$C$13,"")</f>
        <v/>
      </c>
      <c r="K131" s="73" t="str">
        <f>IF(H131&lt;&gt;"",H131*Supuestos!$C$14,"")</f>
        <v/>
      </c>
      <c r="L131" s="32" t="str">
        <f t="shared" si="12"/>
        <v/>
      </c>
      <c r="M131" s="17"/>
      <c r="N131" s="32" t="str">
        <f t="shared" si="13"/>
        <v/>
      </c>
      <c r="O131" s="74" t="str">
        <f t="shared" ca="1" si="14"/>
        <v/>
      </c>
      <c r="P131" s="75" t="str">
        <f t="shared" ca="1" si="15"/>
        <v/>
      </c>
      <c r="Q131" s="71"/>
    </row>
    <row r="132" spans="2:17" ht="15.75" customHeight="1" x14ac:dyDescent="0.2">
      <c r="B132" s="66">
        <v>123</v>
      </c>
      <c r="C132" s="30"/>
      <c r="D132" s="30"/>
      <c r="E132" s="30"/>
      <c r="F132" s="43"/>
      <c r="G132" s="43"/>
      <c r="H132" s="17"/>
      <c r="I132" s="67" t="str">
        <f>IF(H132&lt;&gt;"",H132*Supuestos!$C$11,"")</f>
        <v/>
      </c>
      <c r="J132" s="67" t="str">
        <f>IF(H132&lt;&gt;"",H132*Supuestos!$C$12*Supuestos!$C$13,"")</f>
        <v/>
      </c>
      <c r="K132" s="67" t="str">
        <f>IF(H132&lt;&gt;"",H132*Supuestos!$C$14,"")</f>
        <v/>
      </c>
      <c r="L132" s="68" t="str">
        <f t="shared" si="12"/>
        <v/>
      </c>
      <c r="M132" s="17"/>
      <c r="N132" s="68" t="str">
        <f t="shared" si="13"/>
        <v/>
      </c>
      <c r="O132" s="69" t="str">
        <f t="shared" ca="1" si="14"/>
        <v/>
      </c>
      <c r="P132" s="70" t="str">
        <f t="shared" ca="1" si="15"/>
        <v/>
      </c>
      <c r="Q132" s="71"/>
    </row>
    <row r="133" spans="2:17" ht="15.75" customHeight="1" x14ac:dyDescent="0.2">
      <c r="B133" s="72">
        <v>124</v>
      </c>
      <c r="C133" s="30"/>
      <c r="D133" s="30"/>
      <c r="E133" s="30"/>
      <c r="F133" s="43"/>
      <c r="G133" s="43"/>
      <c r="H133" s="17"/>
      <c r="I133" s="73" t="str">
        <f>IF(H133&lt;&gt;"",H133*Supuestos!$C$11,"")</f>
        <v/>
      </c>
      <c r="J133" s="73" t="str">
        <f>IF(H133&lt;&gt;"",H133*Supuestos!$C$12*Supuestos!$C$13,"")</f>
        <v/>
      </c>
      <c r="K133" s="73" t="str">
        <f>IF(H133&lt;&gt;"",H133*Supuestos!$C$14,"")</f>
        <v/>
      </c>
      <c r="L133" s="32" t="str">
        <f t="shared" si="12"/>
        <v/>
      </c>
      <c r="M133" s="17"/>
      <c r="N133" s="32" t="str">
        <f t="shared" si="13"/>
        <v/>
      </c>
      <c r="O133" s="74" t="str">
        <f t="shared" ca="1" si="14"/>
        <v/>
      </c>
      <c r="P133" s="75" t="str">
        <f t="shared" ca="1" si="15"/>
        <v/>
      </c>
      <c r="Q133" s="71"/>
    </row>
    <row r="134" spans="2:17" ht="15.75" customHeight="1" x14ac:dyDescent="0.2">
      <c r="B134" s="66">
        <v>125</v>
      </c>
      <c r="C134" s="30"/>
      <c r="D134" s="30"/>
      <c r="E134" s="30"/>
      <c r="F134" s="43"/>
      <c r="G134" s="43"/>
      <c r="H134" s="17"/>
      <c r="I134" s="67" t="str">
        <f>IF(H134&lt;&gt;"",H134*Supuestos!$C$11,"")</f>
        <v/>
      </c>
      <c r="J134" s="67" t="str">
        <f>IF(H134&lt;&gt;"",H134*Supuestos!$C$12*Supuestos!$C$13,"")</f>
        <v/>
      </c>
      <c r="K134" s="67" t="str">
        <f>IF(H134&lt;&gt;"",H134*Supuestos!$C$14,"")</f>
        <v/>
      </c>
      <c r="L134" s="68" t="str">
        <f t="shared" si="12"/>
        <v/>
      </c>
      <c r="M134" s="17"/>
      <c r="N134" s="68" t="str">
        <f t="shared" si="13"/>
        <v/>
      </c>
      <c r="O134" s="69" t="str">
        <f t="shared" ca="1" si="14"/>
        <v/>
      </c>
      <c r="P134" s="70" t="str">
        <f t="shared" ca="1" si="15"/>
        <v/>
      </c>
      <c r="Q134" s="71"/>
    </row>
    <row r="135" spans="2:17" ht="15.75" customHeight="1" x14ac:dyDescent="0.2">
      <c r="B135" s="72">
        <v>126</v>
      </c>
      <c r="C135" s="30"/>
      <c r="D135" s="30"/>
      <c r="E135" s="30"/>
      <c r="F135" s="43"/>
      <c r="G135" s="43"/>
      <c r="H135" s="17"/>
      <c r="I135" s="73" t="str">
        <f>IF(H135&lt;&gt;"",H135*Supuestos!$C$11,"")</f>
        <v/>
      </c>
      <c r="J135" s="73" t="str">
        <f>IF(H135&lt;&gt;"",H135*Supuestos!$C$12*Supuestos!$C$13,"")</f>
        <v/>
      </c>
      <c r="K135" s="73" t="str">
        <f>IF(H135&lt;&gt;"",H135*Supuestos!$C$14,"")</f>
        <v/>
      </c>
      <c r="L135" s="32" t="str">
        <f t="shared" si="12"/>
        <v/>
      </c>
      <c r="M135" s="17"/>
      <c r="N135" s="32" t="str">
        <f t="shared" si="13"/>
        <v/>
      </c>
      <c r="O135" s="74" t="str">
        <f t="shared" ca="1" si="14"/>
        <v/>
      </c>
      <c r="P135" s="75" t="str">
        <f t="shared" ca="1" si="15"/>
        <v/>
      </c>
      <c r="Q135" s="71"/>
    </row>
    <row r="136" spans="2:17" ht="15.75" customHeight="1" x14ac:dyDescent="0.2">
      <c r="B136" s="66">
        <v>127</v>
      </c>
      <c r="C136" s="30"/>
      <c r="D136" s="30"/>
      <c r="E136" s="30"/>
      <c r="F136" s="43"/>
      <c r="G136" s="43"/>
      <c r="H136" s="17"/>
      <c r="I136" s="67" t="str">
        <f>IF(H136&lt;&gt;"",H136*Supuestos!$C$11,"")</f>
        <v/>
      </c>
      <c r="J136" s="67" t="str">
        <f>IF(H136&lt;&gt;"",H136*Supuestos!$C$12*Supuestos!$C$13,"")</f>
        <v/>
      </c>
      <c r="K136" s="67" t="str">
        <f>IF(H136&lt;&gt;"",H136*Supuestos!$C$14,"")</f>
        <v/>
      </c>
      <c r="L136" s="68" t="str">
        <f t="shared" si="12"/>
        <v/>
      </c>
      <c r="M136" s="17"/>
      <c r="N136" s="68" t="str">
        <f t="shared" si="13"/>
        <v/>
      </c>
      <c r="O136" s="69" t="str">
        <f t="shared" ca="1" si="14"/>
        <v/>
      </c>
      <c r="P136" s="70" t="str">
        <f t="shared" ca="1" si="15"/>
        <v/>
      </c>
      <c r="Q136" s="71"/>
    </row>
    <row r="137" spans="2:17" ht="15.75" customHeight="1" x14ac:dyDescent="0.2">
      <c r="B137" s="72">
        <v>128</v>
      </c>
      <c r="C137" s="30"/>
      <c r="D137" s="30"/>
      <c r="E137" s="30"/>
      <c r="F137" s="43"/>
      <c r="G137" s="43"/>
      <c r="H137" s="17"/>
      <c r="I137" s="73" t="str">
        <f>IF(H137&lt;&gt;"",H137*Supuestos!$C$11,"")</f>
        <v/>
      </c>
      <c r="J137" s="73" t="str">
        <f>IF(H137&lt;&gt;"",H137*Supuestos!$C$12*Supuestos!$C$13,"")</f>
        <v/>
      </c>
      <c r="K137" s="73" t="str">
        <f>IF(H137&lt;&gt;"",H137*Supuestos!$C$14,"")</f>
        <v/>
      </c>
      <c r="L137" s="32" t="str">
        <f t="shared" si="12"/>
        <v/>
      </c>
      <c r="M137" s="17"/>
      <c r="N137" s="32" t="str">
        <f t="shared" si="13"/>
        <v/>
      </c>
      <c r="O137" s="74" t="str">
        <f t="shared" ca="1" si="14"/>
        <v/>
      </c>
      <c r="P137" s="75" t="str">
        <f t="shared" ca="1" si="15"/>
        <v/>
      </c>
      <c r="Q137" s="71"/>
    </row>
    <row r="138" spans="2:17" ht="15.75" customHeight="1" x14ac:dyDescent="0.2">
      <c r="B138" s="66">
        <v>129</v>
      </c>
      <c r="C138" s="30"/>
      <c r="D138" s="30"/>
      <c r="E138" s="30"/>
      <c r="F138" s="43"/>
      <c r="G138" s="43"/>
      <c r="H138" s="17"/>
      <c r="I138" s="67" t="str">
        <f>IF(H138&lt;&gt;"",H138*Supuestos!$C$11,"")</f>
        <v/>
      </c>
      <c r="J138" s="67" t="str">
        <f>IF(H138&lt;&gt;"",H138*Supuestos!$C$12*Supuestos!$C$13,"")</f>
        <v/>
      </c>
      <c r="K138" s="67" t="str">
        <f>IF(H138&lt;&gt;"",H138*Supuestos!$C$14,"")</f>
        <v/>
      </c>
      <c r="L138" s="68" t="str">
        <f t="shared" ref="L138:L169" si="16">IF(H138&lt;&gt;"",H138+I138-J138-K138,"")</f>
        <v/>
      </c>
      <c r="M138" s="17"/>
      <c r="N138" s="68" t="str">
        <f t="shared" ref="N138:N169" si="17">IF(H138&lt;&gt;"",IF(M138&lt;&gt;"",L138-M138,L138),"")</f>
        <v/>
      </c>
      <c r="O138" s="69" t="str">
        <f t="shared" ref="O138:O169" ca="1" si="18">IF(AND(H138&lt;&gt;"",N138&gt;0,G138&lt;&gt;""),MAX(TODAY()-G138,0),"")</f>
        <v/>
      </c>
      <c r="P138" s="70" t="str">
        <f t="shared" ref="P138:P169" ca="1" si="19">IF(H138="","",IF(N138&lt;=0,"COBRADA",IF(G138="","VIGENTE",IF(TODAY()&lt;=G138,"VIGENTE",IF(TODAY()-G138&lt;=30,"VENCIDA",IF(TODAY()-G138&lt;=90,"CRÍTICA","CASTIGAR"))))))</f>
        <v/>
      </c>
      <c r="Q138" s="71"/>
    </row>
    <row r="139" spans="2:17" ht="15.75" customHeight="1" x14ac:dyDescent="0.2">
      <c r="B139" s="72">
        <v>130</v>
      </c>
      <c r="C139" s="30"/>
      <c r="D139" s="30"/>
      <c r="E139" s="30"/>
      <c r="F139" s="43"/>
      <c r="G139" s="43"/>
      <c r="H139" s="17"/>
      <c r="I139" s="73" t="str">
        <f>IF(H139&lt;&gt;"",H139*Supuestos!$C$11,"")</f>
        <v/>
      </c>
      <c r="J139" s="73" t="str">
        <f>IF(H139&lt;&gt;"",H139*Supuestos!$C$12*Supuestos!$C$13,"")</f>
        <v/>
      </c>
      <c r="K139" s="73" t="str">
        <f>IF(H139&lt;&gt;"",H139*Supuestos!$C$14,"")</f>
        <v/>
      </c>
      <c r="L139" s="32" t="str">
        <f t="shared" si="16"/>
        <v/>
      </c>
      <c r="M139" s="17"/>
      <c r="N139" s="32" t="str">
        <f t="shared" si="17"/>
        <v/>
      </c>
      <c r="O139" s="74" t="str">
        <f t="shared" ca="1" si="18"/>
        <v/>
      </c>
      <c r="P139" s="75" t="str">
        <f t="shared" ca="1" si="19"/>
        <v/>
      </c>
      <c r="Q139" s="71"/>
    </row>
    <row r="140" spans="2:17" ht="15.75" customHeight="1" x14ac:dyDescent="0.2">
      <c r="B140" s="66">
        <v>131</v>
      </c>
      <c r="C140" s="30"/>
      <c r="D140" s="30"/>
      <c r="E140" s="30"/>
      <c r="F140" s="43"/>
      <c r="G140" s="43"/>
      <c r="H140" s="17"/>
      <c r="I140" s="67" t="str">
        <f>IF(H140&lt;&gt;"",H140*Supuestos!$C$11,"")</f>
        <v/>
      </c>
      <c r="J140" s="67" t="str">
        <f>IF(H140&lt;&gt;"",H140*Supuestos!$C$12*Supuestos!$C$13,"")</f>
        <v/>
      </c>
      <c r="K140" s="67" t="str">
        <f>IF(H140&lt;&gt;"",H140*Supuestos!$C$14,"")</f>
        <v/>
      </c>
      <c r="L140" s="68" t="str">
        <f t="shared" si="16"/>
        <v/>
      </c>
      <c r="M140" s="17"/>
      <c r="N140" s="68" t="str">
        <f t="shared" si="17"/>
        <v/>
      </c>
      <c r="O140" s="69" t="str">
        <f t="shared" ca="1" si="18"/>
        <v/>
      </c>
      <c r="P140" s="70" t="str">
        <f t="shared" ca="1" si="19"/>
        <v/>
      </c>
      <c r="Q140" s="71"/>
    </row>
    <row r="141" spans="2:17" ht="15.75" customHeight="1" x14ac:dyDescent="0.2">
      <c r="B141" s="72">
        <v>132</v>
      </c>
      <c r="C141" s="30"/>
      <c r="D141" s="30"/>
      <c r="E141" s="30"/>
      <c r="F141" s="43"/>
      <c r="G141" s="43"/>
      <c r="H141" s="17"/>
      <c r="I141" s="73" t="str">
        <f>IF(H141&lt;&gt;"",H141*Supuestos!$C$11,"")</f>
        <v/>
      </c>
      <c r="J141" s="73" t="str">
        <f>IF(H141&lt;&gt;"",H141*Supuestos!$C$12*Supuestos!$C$13,"")</f>
        <v/>
      </c>
      <c r="K141" s="73" t="str">
        <f>IF(H141&lt;&gt;"",H141*Supuestos!$C$14,"")</f>
        <v/>
      </c>
      <c r="L141" s="32" t="str">
        <f t="shared" si="16"/>
        <v/>
      </c>
      <c r="M141" s="17"/>
      <c r="N141" s="32" t="str">
        <f t="shared" si="17"/>
        <v/>
      </c>
      <c r="O141" s="74" t="str">
        <f t="shared" ca="1" si="18"/>
        <v/>
      </c>
      <c r="P141" s="75" t="str">
        <f t="shared" ca="1" si="19"/>
        <v/>
      </c>
      <c r="Q141" s="71"/>
    </row>
    <row r="142" spans="2:17" ht="15.75" customHeight="1" x14ac:dyDescent="0.2">
      <c r="B142" s="66">
        <v>133</v>
      </c>
      <c r="C142" s="30"/>
      <c r="D142" s="30"/>
      <c r="E142" s="30"/>
      <c r="F142" s="43"/>
      <c r="G142" s="43"/>
      <c r="H142" s="17"/>
      <c r="I142" s="67" t="str">
        <f>IF(H142&lt;&gt;"",H142*Supuestos!$C$11,"")</f>
        <v/>
      </c>
      <c r="J142" s="67" t="str">
        <f>IF(H142&lt;&gt;"",H142*Supuestos!$C$12*Supuestos!$C$13,"")</f>
        <v/>
      </c>
      <c r="K142" s="67" t="str">
        <f>IF(H142&lt;&gt;"",H142*Supuestos!$C$14,"")</f>
        <v/>
      </c>
      <c r="L142" s="68" t="str">
        <f t="shared" si="16"/>
        <v/>
      </c>
      <c r="M142" s="17"/>
      <c r="N142" s="68" t="str">
        <f t="shared" si="17"/>
        <v/>
      </c>
      <c r="O142" s="69" t="str">
        <f t="shared" ca="1" si="18"/>
        <v/>
      </c>
      <c r="P142" s="70" t="str">
        <f t="shared" ca="1" si="19"/>
        <v/>
      </c>
      <c r="Q142" s="71"/>
    </row>
    <row r="143" spans="2:17" ht="15.75" customHeight="1" x14ac:dyDescent="0.2">
      <c r="B143" s="72">
        <v>134</v>
      </c>
      <c r="C143" s="30"/>
      <c r="D143" s="30"/>
      <c r="E143" s="30"/>
      <c r="F143" s="43"/>
      <c r="G143" s="43"/>
      <c r="H143" s="17"/>
      <c r="I143" s="73" t="str">
        <f>IF(H143&lt;&gt;"",H143*Supuestos!$C$11,"")</f>
        <v/>
      </c>
      <c r="J143" s="73" t="str">
        <f>IF(H143&lt;&gt;"",H143*Supuestos!$C$12*Supuestos!$C$13,"")</f>
        <v/>
      </c>
      <c r="K143" s="73" t="str">
        <f>IF(H143&lt;&gt;"",H143*Supuestos!$C$14,"")</f>
        <v/>
      </c>
      <c r="L143" s="32" t="str">
        <f t="shared" si="16"/>
        <v/>
      </c>
      <c r="M143" s="17"/>
      <c r="N143" s="32" t="str">
        <f t="shared" si="17"/>
        <v/>
      </c>
      <c r="O143" s="74" t="str">
        <f t="shared" ca="1" si="18"/>
        <v/>
      </c>
      <c r="P143" s="75" t="str">
        <f t="shared" ca="1" si="19"/>
        <v/>
      </c>
      <c r="Q143" s="71"/>
    </row>
    <row r="144" spans="2:17" ht="15.75" customHeight="1" x14ac:dyDescent="0.2">
      <c r="B144" s="66">
        <v>135</v>
      </c>
      <c r="C144" s="30"/>
      <c r="D144" s="30"/>
      <c r="E144" s="30"/>
      <c r="F144" s="43"/>
      <c r="G144" s="43"/>
      <c r="H144" s="17"/>
      <c r="I144" s="67" t="str">
        <f>IF(H144&lt;&gt;"",H144*Supuestos!$C$11,"")</f>
        <v/>
      </c>
      <c r="J144" s="67" t="str">
        <f>IF(H144&lt;&gt;"",H144*Supuestos!$C$12*Supuestos!$C$13,"")</f>
        <v/>
      </c>
      <c r="K144" s="67" t="str">
        <f>IF(H144&lt;&gt;"",H144*Supuestos!$C$14,"")</f>
        <v/>
      </c>
      <c r="L144" s="68" t="str">
        <f t="shared" si="16"/>
        <v/>
      </c>
      <c r="M144" s="17"/>
      <c r="N144" s="68" t="str">
        <f t="shared" si="17"/>
        <v/>
      </c>
      <c r="O144" s="69" t="str">
        <f t="shared" ca="1" si="18"/>
        <v/>
      </c>
      <c r="P144" s="70" t="str">
        <f t="shared" ca="1" si="19"/>
        <v/>
      </c>
      <c r="Q144" s="71"/>
    </row>
    <row r="145" spans="2:17" ht="15.75" customHeight="1" x14ac:dyDescent="0.2">
      <c r="B145" s="72">
        <v>136</v>
      </c>
      <c r="C145" s="30"/>
      <c r="D145" s="30"/>
      <c r="E145" s="30"/>
      <c r="F145" s="43"/>
      <c r="G145" s="43"/>
      <c r="H145" s="17"/>
      <c r="I145" s="73" t="str">
        <f>IF(H145&lt;&gt;"",H145*Supuestos!$C$11,"")</f>
        <v/>
      </c>
      <c r="J145" s="73" t="str">
        <f>IF(H145&lt;&gt;"",H145*Supuestos!$C$12*Supuestos!$C$13,"")</f>
        <v/>
      </c>
      <c r="K145" s="73" t="str">
        <f>IF(H145&lt;&gt;"",H145*Supuestos!$C$14,"")</f>
        <v/>
      </c>
      <c r="L145" s="32" t="str">
        <f t="shared" si="16"/>
        <v/>
      </c>
      <c r="M145" s="17"/>
      <c r="N145" s="32" t="str">
        <f t="shared" si="17"/>
        <v/>
      </c>
      <c r="O145" s="74" t="str">
        <f t="shared" ca="1" si="18"/>
        <v/>
      </c>
      <c r="P145" s="75" t="str">
        <f t="shared" ca="1" si="19"/>
        <v/>
      </c>
      <c r="Q145" s="71"/>
    </row>
    <row r="146" spans="2:17" ht="15.75" customHeight="1" x14ac:dyDescent="0.2">
      <c r="B146" s="66">
        <v>137</v>
      </c>
      <c r="C146" s="30"/>
      <c r="D146" s="30"/>
      <c r="E146" s="30"/>
      <c r="F146" s="43"/>
      <c r="G146" s="43"/>
      <c r="H146" s="17"/>
      <c r="I146" s="67" t="str">
        <f>IF(H146&lt;&gt;"",H146*Supuestos!$C$11,"")</f>
        <v/>
      </c>
      <c r="J146" s="67" t="str">
        <f>IF(H146&lt;&gt;"",H146*Supuestos!$C$12*Supuestos!$C$13,"")</f>
        <v/>
      </c>
      <c r="K146" s="67" t="str">
        <f>IF(H146&lt;&gt;"",H146*Supuestos!$C$14,"")</f>
        <v/>
      </c>
      <c r="L146" s="68" t="str">
        <f t="shared" si="16"/>
        <v/>
      </c>
      <c r="M146" s="17"/>
      <c r="N146" s="68" t="str">
        <f t="shared" si="17"/>
        <v/>
      </c>
      <c r="O146" s="69" t="str">
        <f t="shared" ca="1" si="18"/>
        <v/>
      </c>
      <c r="P146" s="70" t="str">
        <f t="shared" ca="1" si="19"/>
        <v/>
      </c>
      <c r="Q146" s="71"/>
    </row>
    <row r="147" spans="2:17" ht="15.75" customHeight="1" x14ac:dyDescent="0.2">
      <c r="B147" s="72">
        <v>138</v>
      </c>
      <c r="C147" s="30"/>
      <c r="D147" s="30"/>
      <c r="E147" s="30"/>
      <c r="F147" s="43"/>
      <c r="G147" s="43"/>
      <c r="H147" s="17"/>
      <c r="I147" s="73" t="str">
        <f>IF(H147&lt;&gt;"",H147*Supuestos!$C$11,"")</f>
        <v/>
      </c>
      <c r="J147" s="73" t="str">
        <f>IF(H147&lt;&gt;"",H147*Supuestos!$C$12*Supuestos!$C$13,"")</f>
        <v/>
      </c>
      <c r="K147" s="73" t="str">
        <f>IF(H147&lt;&gt;"",H147*Supuestos!$C$14,"")</f>
        <v/>
      </c>
      <c r="L147" s="32" t="str">
        <f t="shared" si="16"/>
        <v/>
      </c>
      <c r="M147" s="17"/>
      <c r="N147" s="32" t="str">
        <f t="shared" si="17"/>
        <v/>
      </c>
      <c r="O147" s="74" t="str">
        <f t="shared" ca="1" si="18"/>
        <v/>
      </c>
      <c r="P147" s="75" t="str">
        <f t="shared" ca="1" si="19"/>
        <v/>
      </c>
      <c r="Q147" s="71"/>
    </row>
    <row r="148" spans="2:17" ht="15.75" customHeight="1" x14ac:dyDescent="0.2">
      <c r="B148" s="66">
        <v>139</v>
      </c>
      <c r="C148" s="30"/>
      <c r="D148" s="30"/>
      <c r="E148" s="30"/>
      <c r="F148" s="43"/>
      <c r="G148" s="43"/>
      <c r="H148" s="17"/>
      <c r="I148" s="67" t="str">
        <f>IF(H148&lt;&gt;"",H148*Supuestos!$C$11,"")</f>
        <v/>
      </c>
      <c r="J148" s="67" t="str">
        <f>IF(H148&lt;&gt;"",H148*Supuestos!$C$12*Supuestos!$C$13,"")</f>
        <v/>
      </c>
      <c r="K148" s="67" t="str">
        <f>IF(H148&lt;&gt;"",H148*Supuestos!$C$14,"")</f>
        <v/>
      </c>
      <c r="L148" s="68" t="str">
        <f t="shared" si="16"/>
        <v/>
      </c>
      <c r="M148" s="17"/>
      <c r="N148" s="68" t="str">
        <f t="shared" si="17"/>
        <v/>
      </c>
      <c r="O148" s="69" t="str">
        <f t="shared" ca="1" si="18"/>
        <v/>
      </c>
      <c r="P148" s="70" t="str">
        <f t="shared" ca="1" si="19"/>
        <v/>
      </c>
      <c r="Q148" s="71"/>
    </row>
    <row r="149" spans="2:17" ht="15.75" customHeight="1" x14ac:dyDescent="0.2">
      <c r="B149" s="72">
        <v>140</v>
      </c>
      <c r="C149" s="30"/>
      <c r="D149" s="30"/>
      <c r="E149" s="30"/>
      <c r="F149" s="43"/>
      <c r="G149" s="43"/>
      <c r="H149" s="17"/>
      <c r="I149" s="73" t="str">
        <f>IF(H149&lt;&gt;"",H149*Supuestos!$C$11,"")</f>
        <v/>
      </c>
      <c r="J149" s="73" t="str">
        <f>IF(H149&lt;&gt;"",H149*Supuestos!$C$12*Supuestos!$C$13,"")</f>
        <v/>
      </c>
      <c r="K149" s="73" t="str">
        <f>IF(H149&lt;&gt;"",H149*Supuestos!$C$14,"")</f>
        <v/>
      </c>
      <c r="L149" s="32" t="str">
        <f t="shared" si="16"/>
        <v/>
      </c>
      <c r="M149" s="17"/>
      <c r="N149" s="32" t="str">
        <f t="shared" si="17"/>
        <v/>
      </c>
      <c r="O149" s="74" t="str">
        <f t="shared" ca="1" si="18"/>
        <v/>
      </c>
      <c r="P149" s="75" t="str">
        <f t="shared" ca="1" si="19"/>
        <v/>
      </c>
      <c r="Q149" s="71"/>
    </row>
    <row r="150" spans="2:17" ht="15.75" customHeight="1" x14ac:dyDescent="0.2">
      <c r="B150" s="66">
        <v>141</v>
      </c>
      <c r="C150" s="30"/>
      <c r="D150" s="30"/>
      <c r="E150" s="30"/>
      <c r="F150" s="43"/>
      <c r="G150" s="43"/>
      <c r="H150" s="17"/>
      <c r="I150" s="67" t="str">
        <f>IF(H150&lt;&gt;"",H150*Supuestos!$C$11,"")</f>
        <v/>
      </c>
      <c r="J150" s="67" t="str">
        <f>IF(H150&lt;&gt;"",H150*Supuestos!$C$12*Supuestos!$C$13,"")</f>
        <v/>
      </c>
      <c r="K150" s="67" t="str">
        <f>IF(H150&lt;&gt;"",H150*Supuestos!$C$14,"")</f>
        <v/>
      </c>
      <c r="L150" s="68" t="str">
        <f t="shared" si="16"/>
        <v/>
      </c>
      <c r="M150" s="17"/>
      <c r="N150" s="68" t="str">
        <f t="shared" si="17"/>
        <v/>
      </c>
      <c r="O150" s="69" t="str">
        <f t="shared" ca="1" si="18"/>
        <v/>
      </c>
      <c r="P150" s="70" t="str">
        <f t="shared" ca="1" si="19"/>
        <v/>
      </c>
      <c r="Q150" s="71"/>
    </row>
    <row r="151" spans="2:17" ht="15.75" customHeight="1" x14ac:dyDescent="0.2">
      <c r="B151" s="72">
        <v>142</v>
      </c>
      <c r="C151" s="30"/>
      <c r="D151" s="30"/>
      <c r="E151" s="30"/>
      <c r="F151" s="43"/>
      <c r="G151" s="43"/>
      <c r="H151" s="17"/>
      <c r="I151" s="73" t="str">
        <f>IF(H151&lt;&gt;"",H151*Supuestos!$C$11,"")</f>
        <v/>
      </c>
      <c r="J151" s="73" t="str">
        <f>IF(H151&lt;&gt;"",H151*Supuestos!$C$12*Supuestos!$C$13,"")</f>
        <v/>
      </c>
      <c r="K151" s="73" t="str">
        <f>IF(H151&lt;&gt;"",H151*Supuestos!$C$14,"")</f>
        <v/>
      </c>
      <c r="L151" s="32" t="str">
        <f t="shared" si="16"/>
        <v/>
      </c>
      <c r="M151" s="17"/>
      <c r="N151" s="32" t="str">
        <f t="shared" si="17"/>
        <v/>
      </c>
      <c r="O151" s="74" t="str">
        <f t="shared" ca="1" si="18"/>
        <v/>
      </c>
      <c r="P151" s="75" t="str">
        <f t="shared" ca="1" si="19"/>
        <v/>
      </c>
      <c r="Q151" s="71"/>
    </row>
    <row r="152" spans="2:17" ht="15.75" customHeight="1" x14ac:dyDescent="0.2">
      <c r="B152" s="66">
        <v>143</v>
      </c>
      <c r="C152" s="30"/>
      <c r="D152" s="30"/>
      <c r="E152" s="30"/>
      <c r="F152" s="43"/>
      <c r="G152" s="43"/>
      <c r="H152" s="17"/>
      <c r="I152" s="67" t="str">
        <f>IF(H152&lt;&gt;"",H152*Supuestos!$C$11,"")</f>
        <v/>
      </c>
      <c r="J152" s="67" t="str">
        <f>IF(H152&lt;&gt;"",H152*Supuestos!$C$12*Supuestos!$C$13,"")</f>
        <v/>
      </c>
      <c r="K152" s="67" t="str">
        <f>IF(H152&lt;&gt;"",H152*Supuestos!$C$14,"")</f>
        <v/>
      </c>
      <c r="L152" s="68" t="str">
        <f t="shared" si="16"/>
        <v/>
      </c>
      <c r="M152" s="17"/>
      <c r="N152" s="68" t="str">
        <f t="shared" si="17"/>
        <v/>
      </c>
      <c r="O152" s="69" t="str">
        <f t="shared" ca="1" si="18"/>
        <v/>
      </c>
      <c r="P152" s="70" t="str">
        <f t="shared" ca="1" si="19"/>
        <v/>
      </c>
      <c r="Q152" s="71"/>
    </row>
    <row r="153" spans="2:17" ht="15.75" customHeight="1" x14ac:dyDescent="0.2">
      <c r="B153" s="72">
        <v>144</v>
      </c>
      <c r="C153" s="30"/>
      <c r="D153" s="30"/>
      <c r="E153" s="30"/>
      <c r="F153" s="43"/>
      <c r="G153" s="43"/>
      <c r="H153" s="17"/>
      <c r="I153" s="73" t="str">
        <f>IF(H153&lt;&gt;"",H153*Supuestos!$C$11,"")</f>
        <v/>
      </c>
      <c r="J153" s="73" t="str">
        <f>IF(H153&lt;&gt;"",H153*Supuestos!$C$12*Supuestos!$C$13,"")</f>
        <v/>
      </c>
      <c r="K153" s="73" t="str">
        <f>IF(H153&lt;&gt;"",H153*Supuestos!$C$14,"")</f>
        <v/>
      </c>
      <c r="L153" s="32" t="str">
        <f t="shared" si="16"/>
        <v/>
      </c>
      <c r="M153" s="17"/>
      <c r="N153" s="32" t="str">
        <f t="shared" si="17"/>
        <v/>
      </c>
      <c r="O153" s="74" t="str">
        <f t="shared" ca="1" si="18"/>
        <v/>
      </c>
      <c r="P153" s="75" t="str">
        <f t="shared" ca="1" si="19"/>
        <v/>
      </c>
      <c r="Q153" s="71"/>
    </row>
    <row r="154" spans="2:17" ht="15.75" customHeight="1" x14ac:dyDescent="0.2">
      <c r="B154" s="66">
        <v>145</v>
      </c>
      <c r="C154" s="30"/>
      <c r="D154" s="30"/>
      <c r="E154" s="30"/>
      <c r="F154" s="43"/>
      <c r="G154" s="43"/>
      <c r="H154" s="17"/>
      <c r="I154" s="67" t="str">
        <f>IF(H154&lt;&gt;"",H154*Supuestos!$C$11,"")</f>
        <v/>
      </c>
      <c r="J154" s="67" t="str">
        <f>IF(H154&lt;&gt;"",H154*Supuestos!$C$12*Supuestos!$C$13,"")</f>
        <v/>
      </c>
      <c r="K154" s="67" t="str">
        <f>IF(H154&lt;&gt;"",H154*Supuestos!$C$14,"")</f>
        <v/>
      </c>
      <c r="L154" s="68" t="str">
        <f t="shared" si="16"/>
        <v/>
      </c>
      <c r="M154" s="17"/>
      <c r="N154" s="68" t="str">
        <f t="shared" si="17"/>
        <v/>
      </c>
      <c r="O154" s="69" t="str">
        <f t="shared" ca="1" si="18"/>
        <v/>
      </c>
      <c r="P154" s="70" t="str">
        <f t="shared" ca="1" si="19"/>
        <v/>
      </c>
      <c r="Q154" s="71"/>
    </row>
    <row r="155" spans="2:17" ht="15.75" customHeight="1" x14ac:dyDescent="0.2">
      <c r="B155" s="72">
        <v>146</v>
      </c>
      <c r="C155" s="30"/>
      <c r="D155" s="30"/>
      <c r="E155" s="30"/>
      <c r="F155" s="43"/>
      <c r="G155" s="43"/>
      <c r="H155" s="17"/>
      <c r="I155" s="73" t="str">
        <f>IF(H155&lt;&gt;"",H155*Supuestos!$C$11,"")</f>
        <v/>
      </c>
      <c r="J155" s="73" t="str">
        <f>IF(H155&lt;&gt;"",H155*Supuestos!$C$12*Supuestos!$C$13,"")</f>
        <v/>
      </c>
      <c r="K155" s="73" t="str">
        <f>IF(H155&lt;&gt;"",H155*Supuestos!$C$14,"")</f>
        <v/>
      </c>
      <c r="L155" s="32" t="str">
        <f t="shared" si="16"/>
        <v/>
      </c>
      <c r="M155" s="17"/>
      <c r="N155" s="32" t="str">
        <f t="shared" si="17"/>
        <v/>
      </c>
      <c r="O155" s="74" t="str">
        <f t="shared" ca="1" si="18"/>
        <v/>
      </c>
      <c r="P155" s="75" t="str">
        <f t="shared" ca="1" si="19"/>
        <v/>
      </c>
      <c r="Q155" s="71"/>
    </row>
    <row r="156" spans="2:17" ht="15.75" customHeight="1" x14ac:dyDescent="0.2">
      <c r="B156" s="66">
        <v>147</v>
      </c>
      <c r="C156" s="30"/>
      <c r="D156" s="30"/>
      <c r="E156" s="30"/>
      <c r="F156" s="43"/>
      <c r="G156" s="43"/>
      <c r="H156" s="17"/>
      <c r="I156" s="67" t="str">
        <f>IF(H156&lt;&gt;"",H156*Supuestos!$C$11,"")</f>
        <v/>
      </c>
      <c r="J156" s="67" t="str">
        <f>IF(H156&lt;&gt;"",H156*Supuestos!$C$12*Supuestos!$C$13,"")</f>
        <v/>
      </c>
      <c r="K156" s="67" t="str">
        <f>IF(H156&lt;&gt;"",H156*Supuestos!$C$14,"")</f>
        <v/>
      </c>
      <c r="L156" s="68" t="str">
        <f t="shared" si="16"/>
        <v/>
      </c>
      <c r="M156" s="17"/>
      <c r="N156" s="68" t="str">
        <f t="shared" si="17"/>
        <v/>
      </c>
      <c r="O156" s="69" t="str">
        <f t="shared" ca="1" si="18"/>
        <v/>
      </c>
      <c r="P156" s="70" t="str">
        <f t="shared" ca="1" si="19"/>
        <v/>
      </c>
      <c r="Q156" s="71"/>
    </row>
    <row r="157" spans="2:17" ht="15.75" customHeight="1" x14ac:dyDescent="0.2">
      <c r="B157" s="72">
        <v>148</v>
      </c>
      <c r="C157" s="30"/>
      <c r="D157" s="30"/>
      <c r="E157" s="30"/>
      <c r="F157" s="43"/>
      <c r="G157" s="43"/>
      <c r="H157" s="17"/>
      <c r="I157" s="73" t="str">
        <f>IF(H157&lt;&gt;"",H157*Supuestos!$C$11,"")</f>
        <v/>
      </c>
      <c r="J157" s="73" t="str">
        <f>IF(H157&lt;&gt;"",H157*Supuestos!$C$12*Supuestos!$C$13,"")</f>
        <v/>
      </c>
      <c r="K157" s="73" t="str">
        <f>IF(H157&lt;&gt;"",H157*Supuestos!$C$14,"")</f>
        <v/>
      </c>
      <c r="L157" s="32" t="str">
        <f t="shared" si="16"/>
        <v/>
      </c>
      <c r="M157" s="17"/>
      <c r="N157" s="32" t="str">
        <f t="shared" si="17"/>
        <v/>
      </c>
      <c r="O157" s="74" t="str">
        <f t="shared" ca="1" si="18"/>
        <v/>
      </c>
      <c r="P157" s="75" t="str">
        <f t="shared" ca="1" si="19"/>
        <v/>
      </c>
      <c r="Q157" s="71"/>
    </row>
    <row r="158" spans="2:17" ht="15.75" customHeight="1" x14ac:dyDescent="0.2">
      <c r="B158" s="66">
        <v>149</v>
      </c>
      <c r="C158" s="30"/>
      <c r="D158" s="30"/>
      <c r="E158" s="30"/>
      <c r="F158" s="43"/>
      <c r="G158" s="43"/>
      <c r="H158" s="17"/>
      <c r="I158" s="67" t="str">
        <f>IF(H158&lt;&gt;"",H158*Supuestos!$C$11,"")</f>
        <v/>
      </c>
      <c r="J158" s="67" t="str">
        <f>IF(H158&lt;&gt;"",H158*Supuestos!$C$12*Supuestos!$C$13,"")</f>
        <v/>
      </c>
      <c r="K158" s="67" t="str">
        <f>IF(H158&lt;&gt;"",H158*Supuestos!$C$14,"")</f>
        <v/>
      </c>
      <c r="L158" s="68" t="str">
        <f t="shared" si="16"/>
        <v/>
      </c>
      <c r="M158" s="17"/>
      <c r="N158" s="68" t="str">
        <f t="shared" si="17"/>
        <v/>
      </c>
      <c r="O158" s="69" t="str">
        <f t="shared" ca="1" si="18"/>
        <v/>
      </c>
      <c r="P158" s="70" t="str">
        <f t="shared" ca="1" si="19"/>
        <v/>
      </c>
      <c r="Q158" s="71"/>
    </row>
    <row r="159" spans="2:17" ht="15.75" customHeight="1" x14ac:dyDescent="0.2">
      <c r="B159" s="72">
        <v>150</v>
      </c>
      <c r="C159" s="30"/>
      <c r="D159" s="30"/>
      <c r="E159" s="30"/>
      <c r="F159" s="43"/>
      <c r="G159" s="43"/>
      <c r="H159" s="17"/>
      <c r="I159" s="73" t="str">
        <f>IF(H159&lt;&gt;"",H159*Supuestos!$C$11,"")</f>
        <v/>
      </c>
      <c r="J159" s="73" t="str">
        <f>IF(H159&lt;&gt;"",H159*Supuestos!$C$12*Supuestos!$C$13,"")</f>
        <v/>
      </c>
      <c r="K159" s="73" t="str">
        <f>IF(H159&lt;&gt;"",H159*Supuestos!$C$14,"")</f>
        <v/>
      </c>
      <c r="L159" s="32" t="str">
        <f t="shared" si="16"/>
        <v/>
      </c>
      <c r="M159" s="17"/>
      <c r="N159" s="32" t="str">
        <f t="shared" si="17"/>
        <v/>
      </c>
      <c r="O159" s="74" t="str">
        <f t="shared" ca="1" si="18"/>
        <v/>
      </c>
      <c r="P159" s="75" t="str">
        <f t="shared" ca="1" si="19"/>
        <v/>
      </c>
      <c r="Q159" s="71"/>
    </row>
    <row r="160" spans="2:17" ht="15.75" customHeight="1" x14ac:dyDescent="0.2">
      <c r="B160" s="66">
        <v>151</v>
      </c>
      <c r="C160" s="30"/>
      <c r="D160" s="30"/>
      <c r="E160" s="30"/>
      <c r="F160" s="43"/>
      <c r="G160" s="43"/>
      <c r="H160" s="17"/>
      <c r="I160" s="67" t="str">
        <f>IF(H160&lt;&gt;"",H160*Supuestos!$C$11,"")</f>
        <v/>
      </c>
      <c r="J160" s="67" t="str">
        <f>IF(H160&lt;&gt;"",H160*Supuestos!$C$12*Supuestos!$C$13,"")</f>
        <v/>
      </c>
      <c r="K160" s="67" t="str">
        <f>IF(H160&lt;&gt;"",H160*Supuestos!$C$14,"")</f>
        <v/>
      </c>
      <c r="L160" s="68" t="str">
        <f t="shared" si="16"/>
        <v/>
      </c>
      <c r="M160" s="17"/>
      <c r="N160" s="68" t="str">
        <f t="shared" si="17"/>
        <v/>
      </c>
      <c r="O160" s="69" t="str">
        <f t="shared" ca="1" si="18"/>
        <v/>
      </c>
      <c r="P160" s="70" t="str">
        <f t="shared" ca="1" si="19"/>
        <v/>
      </c>
      <c r="Q160" s="71"/>
    </row>
    <row r="161" spans="2:17" ht="15.75" customHeight="1" x14ac:dyDescent="0.2">
      <c r="B161" s="72">
        <v>152</v>
      </c>
      <c r="C161" s="30"/>
      <c r="D161" s="30"/>
      <c r="E161" s="30"/>
      <c r="F161" s="43"/>
      <c r="G161" s="43"/>
      <c r="H161" s="17"/>
      <c r="I161" s="73" t="str">
        <f>IF(H161&lt;&gt;"",H161*Supuestos!$C$11,"")</f>
        <v/>
      </c>
      <c r="J161" s="73" t="str">
        <f>IF(H161&lt;&gt;"",H161*Supuestos!$C$12*Supuestos!$C$13,"")</f>
        <v/>
      </c>
      <c r="K161" s="73" t="str">
        <f>IF(H161&lt;&gt;"",H161*Supuestos!$C$14,"")</f>
        <v/>
      </c>
      <c r="L161" s="32" t="str">
        <f t="shared" si="16"/>
        <v/>
      </c>
      <c r="M161" s="17"/>
      <c r="N161" s="32" t="str">
        <f t="shared" si="17"/>
        <v/>
      </c>
      <c r="O161" s="74" t="str">
        <f t="shared" ca="1" si="18"/>
        <v/>
      </c>
      <c r="P161" s="75" t="str">
        <f t="shared" ca="1" si="19"/>
        <v/>
      </c>
      <c r="Q161" s="71"/>
    </row>
    <row r="162" spans="2:17" ht="15.75" customHeight="1" x14ac:dyDescent="0.2">
      <c r="B162" s="66">
        <v>153</v>
      </c>
      <c r="C162" s="30"/>
      <c r="D162" s="30"/>
      <c r="E162" s="30"/>
      <c r="F162" s="43"/>
      <c r="G162" s="43"/>
      <c r="H162" s="17"/>
      <c r="I162" s="67" t="str">
        <f>IF(H162&lt;&gt;"",H162*Supuestos!$C$11,"")</f>
        <v/>
      </c>
      <c r="J162" s="67" t="str">
        <f>IF(H162&lt;&gt;"",H162*Supuestos!$C$12*Supuestos!$C$13,"")</f>
        <v/>
      </c>
      <c r="K162" s="67" t="str">
        <f>IF(H162&lt;&gt;"",H162*Supuestos!$C$14,"")</f>
        <v/>
      </c>
      <c r="L162" s="68" t="str">
        <f t="shared" si="16"/>
        <v/>
      </c>
      <c r="M162" s="17"/>
      <c r="N162" s="68" t="str">
        <f t="shared" si="17"/>
        <v/>
      </c>
      <c r="O162" s="69" t="str">
        <f t="shared" ca="1" si="18"/>
        <v/>
      </c>
      <c r="P162" s="70" t="str">
        <f t="shared" ca="1" si="19"/>
        <v/>
      </c>
      <c r="Q162" s="71"/>
    </row>
    <row r="163" spans="2:17" ht="15.75" customHeight="1" x14ac:dyDescent="0.2">
      <c r="B163" s="72">
        <v>154</v>
      </c>
      <c r="C163" s="30"/>
      <c r="D163" s="30"/>
      <c r="E163" s="30"/>
      <c r="F163" s="43"/>
      <c r="G163" s="43"/>
      <c r="H163" s="17"/>
      <c r="I163" s="73" t="str">
        <f>IF(H163&lt;&gt;"",H163*Supuestos!$C$11,"")</f>
        <v/>
      </c>
      <c r="J163" s="73" t="str">
        <f>IF(H163&lt;&gt;"",H163*Supuestos!$C$12*Supuestos!$C$13,"")</f>
        <v/>
      </c>
      <c r="K163" s="73" t="str">
        <f>IF(H163&lt;&gt;"",H163*Supuestos!$C$14,"")</f>
        <v/>
      </c>
      <c r="L163" s="32" t="str">
        <f t="shared" si="16"/>
        <v/>
      </c>
      <c r="M163" s="17"/>
      <c r="N163" s="32" t="str">
        <f t="shared" si="17"/>
        <v/>
      </c>
      <c r="O163" s="74" t="str">
        <f t="shared" ca="1" si="18"/>
        <v/>
      </c>
      <c r="P163" s="75" t="str">
        <f t="shared" ca="1" si="19"/>
        <v/>
      </c>
      <c r="Q163" s="71"/>
    </row>
    <row r="164" spans="2:17" ht="15.75" customHeight="1" x14ac:dyDescent="0.2">
      <c r="B164" s="66">
        <v>155</v>
      </c>
      <c r="C164" s="30"/>
      <c r="D164" s="30"/>
      <c r="E164" s="30"/>
      <c r="F164" s="43"/>
      <c r="G164" s="43"/>
      <c r="H164" s="17"/>
      <c r="I164" s="67" t="str">
        <f>IF(H164&lt;&gt;"",H164*Supuestos!$C$11,"")</f>
        <v/>
      </c>
      <c r="J164" s="67" t="str">
        <f>IF(H164&lt;&gt;"",H164*Supuestos!$C$12*Supuestos!$C$13,"")</f>
        <v/>
      </c>
      <c r="K164" s="67" t="str">
        <f>IF(H164&lt;&gt;"",H164*Supuestos!$C$14,"")</f>
        <v/>
      </c>
      <c r="L164" s="68" t="str">
        <f t="shared" si="16"/>
        <v/>
      </c>
      <c r="M164" s="17"/>
      <c r="N164" s="68" t="str">
        <f t="shared" si="17"/>
        <v/>
      </c>
      <c r="O164" s="69" t="str">
        <f t="shared" ca="1" si="18"/>
        <v/>
      </c>
      <c r="P164" s="70" t="str">
        <f t="shared" ca="1" si="19"/>
        <v/>
      </c>
      <c r="Q164" s="71"/>
    </row>
    <row r="165" spans="2:17" ht="15.75" customHeight="1" x14ac:dyDescent="0.2">
      <c r="B165" s="72">
        <v>156</v>
      </c>
      <c r="C165" s="30"/>
      <c r="D165" s="30"/>
      <c r="E165" s="30"/>
      <c r="F165" s="43"/>
      <c r="G165" s="43"/>
      <c r="H165" s="17"/>
      <c r="I165" s="73" t="str">
        <f>IF(H165&lt;&gt;"",H165*Supuestos!$C$11,"")</f>
        <v/>
      </c>
      <c r="J165" s="73" t="str">
        <f>IF(H165&lt;&gt;"",H165*Supuestos!$C$12*Supuestos!$C$13,"")</f>
        <v/>
      </c>
      <c r="K165" s="73" t="str">
        <f>IF(H165&lt;&gt;"",H165*Supuestos!$C$14,"")</f>
        <v/>
      </c>
      <c r="L165" s="32" t="str">
        <f t="shared" si="16"/>
        <v/>
      </c>
      <c r="M165" s="17"/>
      <c r="N165" s="32" t="str">
        <f t="shared" si="17"/>
        <v/>
      </c>
      <c r="O165" s="74" t="str">
        <f t="shared" ca="1" si="18"/>
        <v/>
      </c>
      <c r="P165" s="75" t="str">
        <f t="shared" ca="1" si="19"/>
        <v/>
      </c>
      <c r="Q165" s="71"/>
    </row>
    <row r="166" spans="2:17" ht="15.75" customHeight="1" x14ac:dyDescent="0.2">
      <c r="B166" s="66">
        <v>157</v>
      </c>
      <c r="C166" s="30"/>
      <c r="D166" s="30"/>
      <c r="E166" s="30"/>
      <c r="F166" s="43"/>
      <c r="G166" s="43"/>
      <c r="H166" s="17"/>
      <c r="I166" s="67" t="str">
        <f>IF(H166&lt;&gt;"",H166*Supuestos!$C$11,"")</f>
        <v/>
      </c>
      <c r="J166" s="67" t="str">
        <f>IF(H166&lt;&gt;"",H166*Supuestos!$C$12*Supuestos!$C$13,"")</f>
        <v/>
      </c>
      <c r="K166" s="67" t="str">
        <f>IF(H166&lt;&gt;"",H166*Supuestos!$C$14,"")</f>
        <v/>
      </c>
      <c r="L166" s="68" t="str">
        <f t="shared" si="16"/>
        <v/>
      </c>
      <c r="M166" s="17"/>
      <c r="N166" s="68" t="str">
        <f t="shared" si="17"/>
        <v/>
      </c>
      <c r="O166" s="69" t="str">
        <f t="shared" ca="1" si="18"/>
        <v/>
      </c>
      <c r="P166" s="70" t="str">
        <f t="shared" ca="1" si="19"/>
        <v/>
      </c>
      <c r="Q166" s="71"/>
    </row>
    <row r="167" spans="2:17" ht="15.75" customHeight="1" x14ac:dyDescent="0.2">
      <c r="B167" s="72">
        <v>158</v>
      </c>
      <c r="C167" s="30"/>
      <c r="D167" s="30"/>
      <c r="E167" s="30"/>
      <c r="F167" s="43"/>
      <c r="G167" s="43"/>
      <c r="H167" s="17"/>
      <c r="I167" s="73" t="str">
        <f>IF(H167&lt;&gt;"",H167*Supuestos!$C$11,"")</f>
        <v/>
      </c>
      <c r="J167" s="73" t="str">
        <f>IF(H167&lt;&gt;"",H167*Supuestos!$C$12*Supuestos!$C$13,"")</f>
        <v/>
      </c>
      <c r="K167" s="73" t="str">
        <f>IF(H167&lt;&gt;"",H167*Supuestos!$C$14,"")</f>
        <v/>
      </c>
      <c r="L167" s="32" t="str">
        <f t="shared" si="16"/>
        <v/>
      </c>
      <c r="M167" s="17"/>
      <c r="N167" s="32" t="str">
        <f t="shared" si="17"/>
        <v/>
      </c>
      <c r="O167" s="74" t="str">
        <f t="shared" ca="1" si="18"/>
        <v/>
      </c>
      <c r="P167" s="75" t="str">
        <f t="shared" ca="1" si="19"/>
        <v/>
      </c>
      <c r="Q167" s="71"/>
    </row>
    <row r="168" spans="2:17" ht="15.75" customHeight="1" x14ac:dyDescent="0.2">
      <c r="B168" s="66">
        <v>159</v>
      </c>
      <c r="C168" s="30"/>
      <c r="D168" s="30"/>
      <c r="E168" s="30"/>
      <c r="F168" s="43"/>
      <c r="G168" s="43"/>
      <c r="H168" s="17"/>
      <c r="I168" s="67" t="str">
        <f>IF(H168&lt;&gt;"",H168*Supuestos!$C$11,"")</f>
        <v/>
      </c>
      <c r="J168" s="67" t="str">
        <f>IF(H168&lt;&gt;"",H168*Supuestos!$C$12*Supuestos!$C$13,"")</f>
        <v/>
      </c>
      <c r="K168" s="67" t="str">
        <f>IF(H168&lt;&gt;"",H168*Supuestos!$C$14,"")</f>
        <v/>
      </c>
      <c r="L168" s="68" t="str">
        <f t="shared" si="16"/>
        <v/>
      </c>
      <c r="M168" s="17"/>
      <c r="N168" s="68" t="str">
        <f t="shared" si="17"/>
        <v/>
      </c>
      <c r="O168" s="69" t="str">
        <f t="shared" ca="1" si="18"/>
        <v/>
      </c>
      <c r="P168" s="70" t="str">
        <f t="shared" ca="1" si="19"/>
        <v/>
      </c>
      <c r="Q168" s="71"/>
    </row>
    <row r="169" spans="2:17" ht="15.75" customHeight="1" x14ac:dyDescent="0.2">
      <c r="B169" s="72">
        <v>160</v>
      </c>
      <c r="C169" s="30"/>
      <c r="D169" s="30"/>
      <c r="E169" s="30"/>
      <c r="F169" s="43"/>
      <c r="G169" s="43"/>
      <c r="H169" s="17"/>
      <c r="I169" s="73" t="str">
        <f>IF(H169&lt;&gt;"",H169*Supuestos!$C$11,"")</f>
        <v/>
      </c>
      <c r="J169" s="73" t="str">
        <f>IF(H169&lt;&gt;"",H169*Supuestos!$C$12*Supuestos!$C$13,"")</f>
        <v/>
      </c>
      <c r="K169" s="73" t="str">
        <f>IF(H169&lt;&gt;"",H169*Supuestos!$C$14,"")</f>
        <v/>
      </c>
      <c r="L169" s="32" t="str">
        <f t="shared" si="16"/>
        <v/>
      </c>
      <c r="M169" s="17"/>
      <c r="N169" s="32" t="str">
        <f t="shared" si="17"/>
        <v/>
      </c>
      <c r="O169" s="74" t="str">
        <f t="shared" ca="1" si="18"/>
        <v/>
      </c>
      <c r="P169" s="75" t="str">
        <f t="shared" ca="1" si="19"/>
        <v/>
      </c>
      <c r="Q169" s="71"/>
    </row>
    <row r="170" spans="2:17" ht="15.75" customHeight="1" x14ac:dyDescent="0.2">
      <c r="B170" s="66">
        <v>161</v>
      </c>
      <c r="C170" s="30"/>
      <c r="D170" s="30"/>
      <c r="E170" s="30"/>
      <c r="F170" s="43"/>
      <c r="G170" s="43"/>
      <c r="H170" s="17"/>
      <c r="I170" s="67" t="str">
        <f>IF(H170&lt;&gt;"",H170*Supuestos!$C$11,"")</f>
        <v/>
      </c>
      <c r="J170" s="67" t="str">
        <f>IF(H170&lt;&gt;"",H170*Supuestos!$C$12*Supuestos!$C$13,"")</f>
        <v/>
      </c>
      <c r="K170" s="67" t="str">
        <f>IF(H170&lt;&gt;"",H170*Supuestos!$C$14,"")</f>
        <v/>
      </c>
      <c r="L170" s="68" t="str">
        <f t="shared" ref="L170:L201" si="20">IF(H170&lt;&gt;"",H170+I170-J170-K170,"")</f>
        <v/>
      </c>
      <c r="M170" s="17"/>
      <c r="N170" s="68" t="str">
        <f t="shared" ref="N170:N201" si="21">IF(H170&lt;&gt;"",IF(M170&lt;&gt;"",L170-M170,L170),"")</f>
        <v/>
      </c>
      <c r="O170" s="69" t="str">
        <f t="shared" ref="O170:O201" ca="1" si="22">IF(AND(H170&lt;&gt;"",N170&gt;0,G170&lt;&gt;""),MAX(TODAY()-G170,0),"")</f>
        <v/>
      </c>
      <c r="P170" s="70" t="str">
        <f t="shared" ref="P170:P201" ca="1" si="23">IF(H170="","",IF(N170&lt;=0,"COBRADA",IF(G170="","VIGENTE",IF(TODAY()&lt;=G170,"VIGENTE",IF(TODAY()-G170&lt;=30,"VENCIDA",IF(TODAY()-G170&lt;=90,"CRÍTICA","CASTIGAR"))))))</f>
        <v/>
      </c>
      <c r="Q170" s="71"/>
    </row>
    <row r="171" spans="2:17" ht="15.75" customHeight="1" x14ac:dyDescent="0.2">
      <c r="B171" s="72">
        <v>162</v>
      </c>
      <c r="C171" s="30"/>
      <c r="D171" s="30"/>
      <c r="E171" s="30"/>
      <c r="F171" s="43"/>
      <c r="G171" s="43"/>
      <c r="H171" s="17"/>
      <c r="I171" s="73" t="str">
        <f>IF(H171&lt;&gt;"",H171*Supuestos!$C$11,"")</f>
        <v/>
      </c>
      <c r="J171" s="73" t="str">
        <f>IF(H171&lt;&gt;"",H171*Supuestos!$C$12*Supuestos!$C$13,"")</f>
        <v/>
      </c>
      <c r="K171" s="73" t="str">
        <f>IF(H171&lt;&gt;"",H171*Supuestos!$C$14,"")</f>
        <v/>
      </c>
      <c r="L171" s="32" t="str">
        <f t="shared" si="20"/>
        <v/>
      </c>
      <c r="M171" s="17"/>
      <c r="N171" s="32" t="str">
        <f t="shared" si="21"/>
        <v/>
      </c>
      <c r="O171" s="74" t="str">
        <f t="shared" ca="1" si="22"/>
        <v/>
      </c>
      <c r="P171" s="75" t="str">
        <f t="shared" ca="1" si="23"/>
        <v/>
      </c>
      <c r="Q171" s="71"/>
    </row>
    <row r="172" spans="2:17" ht="15.75" customHeight="1" x14ac:dyDescent="0.2">
      <c r="B172" s="66">
        <v>163</v>
      </c>
      <c r="C172" s="30"/>
      <c r="D172" s="30"/>
      <c r="E172" s="30"/>
      <c r="F172" s="43"/>
      <c r="G172" s="43"/>
      <c r="H172" s="17"/>
      <c r="I172" s="67" t="str">
        <f>IF(H172&lt;&gt;"",H172*Supuestos!$C$11,"")</f>
        <v/>
      </c>
      <c r="J172" s="67" t="str">
        <f>IF(H172&lt;&gt;"",H172*Supuestos!$C$12*Supuestos!$C$13,"")</f>
        <v/>
      </c>
      <c r="K172" s="67" t="str">
        <f>IF(H172&lt;&gt;"",H172*Supuestos!$C$14,"")</f>
        <v/>
      </c>
      <c r="L172" s="68" t="str">
        <f t="shared" si="20"/>
        <v/>
      </c>
      <c r="M172" s="17"/>
      <c r="N172" s="68" t="str">
        <f t="shared" si="21"/>
        <v/>
      </c>
      <c r="O172" s="69" t="str">
        <f t="shared" ca="1" si="22"/>
        <v/>
      </c>
      <c r="P172" s="70" t="str">
        <f t="shared" ca="1" si="23"/>
        <v/>
      </c>
      <c r="Q172" s="71"/>
    </row>
    <row r="173" spans="2:17" ht="15.75" customHeight="1" x14ac:dyDescent="0.2">
      <c r="B173" s="72">
        <v>164</v>
      </c>
      <c r="C173" s="30"/>
      <c r="D173" s="30"/>
      <c r="E173" s="30"/>
      <c r="F173" s="43"/>
      <c r="G173" s="43"/>
      <c r="H173" s="17"/>
      <c r="I173" s="73" t="str">
        <f>IF(H173&lt;&gt;"",H173*Supuestos!$C$11,"")</f>
        <v/>
      </c>
      <c r="J173" s="73" t="str">
        <f>IF(H173&lt;&gt;"",H173*Supuestos!$C$12*Supuestos!$C$13,"")</f>
        <v/>
      </c>
      <c r="K173" s="73" t="str">
        <f>IF(H173&lt;&gt;"",H173*Supuestos!$C$14,"")</f>
        <v/>
      </c>
      <c r="L173" s="32" t="str">
        <f t="shared" si="20"/>
        <v/>
      </c>
      <c r="M173" s="17"/>
      <c r="N173" s="32" t="str">
        <f t="shared" si="21"/>
        <v/>
      </c>
      <c r="O173" s="74" t="str">
        <f t="shared" ca="1" si="22"/>
        <v/>
      </c>
      <c r="P173" s="75" t="str">
        <f t="shared" ca="1" si="23"/>
        <v/>
      </c>
      <c r="Q173" s="71"/>
    </row>
    <row r="174" spans="2:17" ht="15.75" customHeight="1" x14ac:dyDescent="0.2">
      <c r="B174" s="66">
        <v>165</v>
      </c>
      <c r="C174" s="30"/>
      <c r="D174" s="30"/>
      <c r="E174" s="30"/>
      <c r="F174" s="43"/>
      <c r="G174" s="43"/>
      <c r="H174" s="17"/>
      <c r="I174" s="67" t="str">
        <f>IF(H174&lt;&gt;"",H174*Supuestos!$C$11,"")</f>
        <v/>
      </c>
      <c r="J174" s="67" t="str">
        <f>IF(H174&lt;&gt;"",H174*Supuestos!$C$12*Supuestos!$C$13,"")</f>
        <v/>
      </c>
      <c r="K174" s="67" t="str">
        <f>IF(H174&lt;&gt;"",H174*Supuestos!$C$14,"")</f>
        <v/>
      </c>
      <c r="L174" s="68" t="str">
        <f t="shared" si="20"/>
        <v/>
      </c>
      <c r="M174" s="17"/>
      <c r="N174" s="68" t="str">
        <f t="shared" si="21"/>
        <v/>
      </c>
      <c r="O174" s="69" t="str">
        <f t="shared" ca="1" si="22"/>
        <v/>
      </c>
      <c r="P174" s="70" t="str">
        <f t="shared" ca="1" si="23"/>
        <v/>
      </c>
      <c r="Q174" s="71"/>
    </row>
    <row r="175" spans="2:17" ht="15.75" customHeight="1" x14ac:dyDescent="0.2">
      <c r="B175" s="72">
        <v>166</v>
      </c>
      <c r="C175" s="30"/>
      <c r="D175" s="30"/>
      <c r="E175" s="30"/>
      <c r="F175" s="43"/>
      <c r="G175" s="43"/>
      <c r="H175" s="17"/>
      <c r="I175" s="73" t="str">
        <f>IF(H175&lt;&gt;"",H175*Supuestos!$C$11,"")</f>
        <v/>
      </c>
      <c r="J175" s="73" t="str">
        <f>IF(H175&lt;&gt;"",H175*Supuestos!$C$12*Supuestos!$C$13,"")</f>
        <v/>
      </c>
      <c r="K175" s="73" t="str">
        <f>IF(H175&lt;&gt;"",H175*Supuestos!$C$14,"")</f>
        <v/>
      </c>
      <c r="L175" s="32" t="str">
        <f t="shared" si="20"/>
        <v/>
      </c>
      <c r="M175" s="17"/>
      <c r="N175" s="32" t="str">
        <f t="shared" si="21"/>
        <v/>
      </c>
      <c r="O175" s="74" t="str">
        <f t="shared" ca="1" si="22"/>
        <v/>
      </c>
      <c r="P175" s="75" t="str">
        <f t="shared" ca="1" si="23"/>
        <v/>
      </c>
      <c r="Q175" s="71"/>
    </row>
    <row r="176" spans="2:17" ht="15.75" customHeight="1" x14ac:dyDescent="0.2">
      <c r="B176" s="66">
        <v>167</v>
      </c>
      <c r="C176" s="30"/>
      <c r="D176" s="30"/>
      <c r="E176" s="30"/>
      <c r="F176" s="43"/>
      <c r="G176" s="43"/>
      <c r="H176" s="17"/>
      <c r="I176" s="67" t="str">
        <f>IF(H176&lt;&gt;"",H176*Supuestos!$C$11,"")</f>
        <v/>
      </c>
      <c r="J176" s="67" t="str">
        <f>IF(H176&lt;&gt;"",H176*Supuestos!$C$12*Supuestos!$C$13,"")</f>
        <v/>
      </c>
      <c r="K176" s="67" t="str">
        <f>IF(H176&lt;&gt;"",H176*Supuestos!$C$14,"")</f>
        <v/>
      </c>
      <c r="L176" s="68" t="str">
        <f t="shared" si="20"/>
        <v/>
      </c>
      <c r="M176" s="17"/>
      <c r="N176" s="68" t="str">
        <f t="shared" si="21"/>
        <v/>
      </c>
      <c r="O176" s="69" t="str">
        <f t="shared" ca="1" si="22"/>
        <v/>
      </c>
      <c r="P176" s="70" t="str">
        <f t="shared" ca="1" si="23"/>
        <v/>
      </c>
      <c r="Q176" s="71"/>
    </row>
    <row r="177" spans="2:17" ht="15.75" customHeight="1" x14ac:dyDescent="0.2">
      <c r="B177" s="72">
        <v>168</v>
      </c>
      <c r="C177" s="30"/>
      <c r="D177" s="30"/>
      <c r="E177" s="30"/>
      <c r="F177" s="43"/>
      <c r="G177" s="43"/>
      <c r="H177" s="17"/>
      <c r="I177" s="73" t="str">
        <f>IF(H177&lt;&gt;"",H177*Supuestos!$C$11,"")</f>
        <v/>
      </c>
      <c r="J177" s="73" t="str">
        <f>IF(H177&lt;&gt;"",H177*Supuestos!$C$12*Supuestos!$C$13,"")</f>
        <v/>
      </c>
      <c r="K177" s="73" t="str">
        <f>IF(H177&lt;&gt;"",H177*Supuestos!$C$14,"")</f>
        <v/>
      </c>
      <c r="L177" s="32" t="str">
        <f t="shared" si="20"/>
        <v/>
      </c>
      <c r="M177" s="17"/>
      <c r="N177" s="32" t="str">
        <f t="shared" si="21"/>
        <v/>
      </c>
      <c r="O177" s="74" t="str">
        <f t="shared" ca="1" si="22"/>
        <v/>
      </c>
      <c r="P177" s="75" t="str">
        <f t="shared" ca="1" si="23"/>
        <v/>
      </c>
      <c r="Q177" s="71"/>
    </row>
    <row r="178" spans="2:17" ht="15.75" customHeight="1" x14ac:dyDescent="0.2">
      <c r="B178" s="66">
        <v>169</v>
      </c>
      <c r="C178" s="30"/>
      <c r="D178" s="30"/>
      <c r="E178" s="30"/>
      <c r="F178" s="43"/>
      <c r="G178" s="43"/>
      <c r="H178" s="17"/>
      <c r="I178" s="67" t="str">
        <f>IF(H178&lt;&gt;"",H178*Supuestos!$C$11,"")</f>
        <v/>
      </c>
      <c r="J178" s="67" t="str">
        <f>IF(H178&lt;&gt;"",H178*Supuestos!$C$12*Supuestos!$C$13,"")</f>
        <v/>
      </c>
      <c r="K178" s="67" t="str">
        <f>IF(H178&lt;&gt;"",H178*Supuestos!$C$14,"")</f>
        <v/>
      </c>
      <c r="L178" s="68" t="str">
        <f t="shared" si="20"/>
        <v/>
      </c>
      <c r="M178" s="17"/>
      <c r="N178" s="68" t="str">
        <f t="shared" si="21"/>
        <v/>
      </c>
      <c r="O178" s="69" t="str">
        <f t="shared" ca="1" si="22"/>
        <v/>
      </c>
      <c r="P178" s="70" t="str">
        <f t="shared" ca="1" si="23"/>
        <v/>
      </c>
      <c r="Q178" s="71"/>
    </row>
    <row r="179" spans="2:17" ht="15.75" customHeight="1" x14ac:dyDescent="0.2">
      <c r="B179" s="72">
        <v>170</v>
      </c>
      <c r="C179" s="30"/>
      <c r="D179" s="30"/>
      <c r="E179" s="30"/>
      <c r="F179" s="43"/>
      <c r="G179" s="43"/>
      <c r="H179" s="17"/>
      <c r="I179" s="73" t="str">
        <f>IF(H179&lt;&gt;"",H179*Supuestos!$C$11,"")</f>
        <v/>
      </c>
      <c r="J179" s="73" t="str">
        <f>IF(H179&lt;&gt;"",H179*Supuestos!$C$12*Supuestos!$C$13,"")</f>
        <v/>
      </c>
      <c r="K179" s="73" t="str">
        <f>IF(H179&lt;&gt;"",H179*Supuestos!$C$14,"")</f>
        <v/>
      </c>
      <c r="L179" s="32" t="str">
        <f t="shared" si="20"/>
        <v/>
      </c>
      <c r="M179" s="17"/>
      <c r="N179" s="32" t="str">
        <f t="shared" si="21"/>
        <v/>
      </c>
      <c r="O179" s="74" t="str">
        <f t="shared" ca="1" si="22"/>
        <v/>
      </c>
      <c r="P179" s="75" t="str">
        <f t="shared" ca="1" si="23"/>
        <v/>
      </c>
      <c r="Q179" s="71"/>
    </row>
    <row r="180" spans="2:17" ht="15.75" customHeight="1" x14ac:dyDescent="0.2">
      <c r="B180" s="66">
        <v>171</v>
      </c>
      <c r="C180" s="30"/>
      <c r="D180" s="30"/>
      <c r="E180" s="30"/>
      <c r="F180" s="43"/>
      <c r="G180" s="43"/>
      <c r="H180" s="17"/>
      <c r="I180" s="67" t="str">
        <f>IF(H180&lt;&gt;"",H180*Supuestos!$C$11,"")</f>
        <v/>
      </c>
      <c r="J180" s="67" t="str">
        <f>IF(H180&lt;&gt;"",H180*Supuestos!$C$12*Supuestos!$C$13,"")</f>
        <v/>
      </c>
      <c r="K180" s="67" t="str">
        <f>IF(H180&lt;&gt;"",H180*Supuestos!$C$14,"")</f>
        <v/>
      </c>
      <c r="L180" s="68" t="str">
        <f t="shared" si="20"/>
        <v/>
      </c>
      <c r="M180" s="17"/>
      <c r="N180" s="68" t="str">
        <f t="shared" si="21"/>
        <v/>
      </c>
      <c r="O180" s="69" t="str">
        <f t="shared" ca="1" si="22"/>
        <v/>
      </c>
      <c r="P180" s="70" t="str">
        <f t="shared" ca="1" si="23"/>
        <v/>
      </c>
      <c r="Q180" s="71"/>
    </row>
    <row r="181" spans="2:17" ht="15.75" customHeight="1" x14ac:dyDescent="0.2">
      <c r="B181" s="72">
        <v>172</v>
      </c>
      <c r="C181" s="30"/>
      <c r="D181" s="30"/>
      <c r="E181" s="30"/>
      <c r="F181" s="43"/>
      <c r="G181" s="43"/>
      <c r="H181" s="17"/>
      <c r="I181" s="73" t="str">
        <f>IF(H181&lt;&gt;"",H181*Supuestos!$C$11,"")</f>
        <v/>
      </c>
      <c r="J181" s="73" t="str">
        <f>IF(H181&lt;&gt;"",H181*Supuestos!$C$12*Supuestos!$C$13,"")</f>
        <v/>
      </c>
      <c r="K181" s="73" t="str">
        <f>IF(H181&lt;&gt;"",H181*Supuestos!$C$14,"")</f>
        <v/>
      </c>
      <c r="L181" s="32" t="str">
        <f t="shared" si="20"/>
        <v/>
      </c>
      <c r="M181" s="17"/>
      <c r="N181" s="32" t="str">
        <f t="shared" si="21"/>
        <v/>
      </c>
      <c r="O181" s="74" t="str">
        <f t="shared" ca="1" si="22"/>
        <v/>
      </c>
      <c r="P181" s="75" t="str">
        <f t="shared" ca="1" si="23"/>
        <v/>
      </c>
      <c r="Q181" s="71"/>
    </row>
    <row r="182" spans="2:17" ht="15.75" customHeight="1" x14ac:dyDescent="0.2">
      <c r="B182" s="66">
        <v>173</v>
      </c>
      <c r="C182" s="30"/>
      <c r="D182" s="30"/>
      <c r="E182" s="30"/>
      <c r="F182" s="43"/>
      <c r="G182" s="43"/>
      <c r="H182" s="17"/>
      <c r="I182" s="67" t="str">
        <f>IF(H182&lt;&gt;"",H182*Supuestos!$C$11,"")</f>
        <v/>
      </c>
      <c r="J182" s="67" t="str">
        <f>IF(H182&lt;&gt;"",H182*Supuestos!$C$12*Supuestos!$C$13,"")</f>
        <v/>
      </c>
      <c r="K182" s="67" t="str">
        <f>IF(H182&lt;&gt;"",H182*Supuestos!$C$14,"")</f>
        <v/>
      </c>
      <c r="L182" s="68" t="str">
        <f t="shared" si="20"/>
        <v/>
      </c>
      <c r="M182" s="17"/>
      <c r="N182" s="68" t="str">
        <f t="shared" si="21"/>
        <v/>
      </c>
      <c r="O182" s="69" t="str">
        <f t="shared" ca="1" si="22"/>
        <v/>
      </c>
      <c r="P182" s="70" t="str">
        <f t="shared" ca="1" si="23"/>
        <v/>
      </c>
      <c r="Q182" s="71"/>
    </row>
    <row r="183" spans="2:17" ht="15.75" customHeight="1" x14ac:dyDescent="0.2">
      <c r="B183" s="72">
        <v>174</v>
      </c>
      <c r="C183" s="30"/>
      <c r="D183" s="30"/>
      <c r="E183" s="30"/>
      <c r="F183" s="43"/>
      <c r="G183" s="43"/>
      <c r="H183" s="17"/>
      <c r="I183" s="73" t="str">
        <f>IF(H183&lt;&gt;"",H183*Supuestos!$C$11,"")</f>
        <v/>
      </c>
      <c r="J183" s="73" t="str">
        <f>IF(H183&lt;&gt;"",H183*Supuestos!$C$12*Supuestos!$C$13,"")</f>
        <v/>
      </c>
      <c r="K183" s="73" t="str">
        <f>IF(H183&lt;&gt;"",H183*Supuestos!$C$14,"")</f>
        <v/>
      </c>
      <c r="L183" s="32" t="str">
        <f t="shared" si="20"/>
        <v/>
      </c>
      <c r="M183" s="17"/>
      <c r="N183" s="32" t="str">
        <f t="shared" si="21"/>
        <v/>
      </c>
      <c r="O183" s="74" t="str">
        <f t="shared" ca="1" si="22"/>
        <v/>
      </c>
      <c r="P183" s="75" t="str">
        <f t="shared" ca="1" si="23"/>
        <v/>
      </c>
      <c r="Q183" s="71"/>
    </row>
    <row r="184" spans="2:17" ht="15.75" customHeight="1" x14ac:dyDescent="0.2">
      <c r="B184" s="66">
        <v>175</v>
      </c>
      <c r="C184" s="30"/>
      <c r="D184" s="30"/>
      <c r="E184" s="30"/>
      <c r="F184" s="43"/>
      <c r="G184" s="43"/>
      <c r="H184" s="17"/>
      <c r="I184" s="67" t="str">
        <f>IF(H184&lt;&gt;"",H184*Supuestos!$C$11,"")</f>
        <v/>
      </c>
      <c r="J184" s="67" t="str">
        <f>IF(H184&lt;&gt;"",H184*Supuestos!$C$12*Supuestos!$C$13,"")</f>
        <v/>
      </c>
      <c r="K184" s="67" t="str">
        <f>IF(H184&lt;&gt;"",H184*Supuestos!$C$14,"")</f>
        <v/>
      </c>
      <c r="L184" s="68" t="str">
        <f t="shared" si="20"/>
        <v/>
      </c>
      <c r="M184" s="17"/>
      <c r="N184" s="68" t="str">
        <f t="shared" si="21"/>
        <v/>
      </c>
      <c r="O184" s="69" t="str">
        <f t="shared" ca="1" si="22"/>
        <v/>
      </c>
      <c r="P184" s="70" t="str">
        <f t="shared" ca="1" si="23"/>
        <v/>
      </c>
      <c r="Q184" s="71"/>
    </row>
    <row r="185" spans="2:17" ht="15.75" customHeight="1" x14ac:dyDescent="0.2">
      <c r="B185" s="72">
        <v>176</v>
      </c>
      <c r="C185" s="30"/>
      <c r="D185" s="30"/>
      <c r="E185" s="30"/>
      <c r="F185" s="43"/>
      <c r="G185" s="43"/>
      <c r="H185" s="17"/>
      <c r="I185" s="73" t="str">
        <f>IF(H185&lt;&gt;"",H185*Supuestos!$C$11,"")</f>
        <v/>
      </c>
      <c r="J185" s="73" t="str">
        <f>IF(H185&lt;&gt;"",H185*Supuestos!$C$12*Supuestos!$C$13,"")</f>
        <v/>
      </c>
      <c r="K185" s="73" t="str">
        <f>IF(H185&lt;&gt;"",H185*Supuestos!$C$14,"")</f>
        <v/>
      </c>
      <c r="L185" s="32" t="str">
        <f t="shared" si="20"/>
        <v/>
      </c>
      <c r="M185" s="17"/>
      <c r="N185" s="32" t="str">
        <f t="shared" si="21"/>
        <v/>
      </c>
      <c r="O185" s="74" t="str">
        <f t="shared" ca="1" si="22"/>
        <v/>
      </c>
      <c r="P185" s="75" t="str">
        <f t="shared" ca="1" si="23"/>
        <v/>
      </c>
      <c r="Q185" s="71"/>
    </row>
    <row r="186" spans="2:17" ht="15.75" customHeight="1" x14ac:dyDescent="0.2">
      <c r="B186" s="66">
        <v>177</v>
      </c>
      <c r="C186" s="30"/>
      <c r="D186" s="30"/>
      <c r="E186" s="30"/>
      <c r="F186" s="43"/>
      <c r="G186" s="43"/>
      <c r="H186" s="17"/>
      <c r="I186" s="67" t="str">
        <f>IF(H186&lt;&gt;"",H186*Supuestos!$C$11,"")</f>
        <v/>
      </c>
      <c r="J186" s="67" t="str">
        <f>IF(H186&lt;&gt;"",H186*Supuestos!$C$12*Supuestos!$C$13,"")</f>
        <v/>
      </c>
      <c r="K186" s="67" t="str">
        <f>IF(H186&lt;&gt;"",H186*Supuestos!$C$14,"")</f>
        <v/>
      </c>
      <c r="L186" s="68" t="str">
        <f t="shared" si="20"/>
        <v/>
      </c>
      <c r="M186" s="17"/>
      <c r="N186" s="68" t="str">
        <f t="shared" si="21"/>
        <v/>
      </c>
      <c r="O186" s="69" t="str">
        <f t="shared" ca="1" si="22"/>
        <v/>
      </c>
      <c r="P186" s="70" t="str">
        <f t="shared" ca="1" si="23"/>
        <v/>
      </c>
      <c r="Q186" s="71"/>
    </row>
    <row r="187" spans="2:17" ht="15.75" customHeight="1" x14ac:dyDescent="0.2">
      <c r="B187" s="72">
        <v>178</v>
      </c>
      <c r="C187" s="30"/>
      <c r="D187" s="30"/>
      <c r="E187" s="30"/>
      <c r="F187" s="43"/>
      <c r="G187" s="43"/>
      <c r="H187" s="17"/>
      <c r="I187" s="73" t="str">
        <f>IF(H187&lt;&gt;"",H187*Supuestos!$C$11,"")</f>
        <v/>
      </c>
      <c r="J187" s="73" t="str">
        <f>IF(H187&lt;&gt;"",H187*Supuestos!$C$12*Supuestos!$C$13,"")</f>
        <v/>
      </c>
      <c r="K187" s="73" t="str">
        <f>IF(H187&lt;&gt;"",H187*Supuestos!$C$14,"")</f>
        <v/>
      </c>
      <c r="L187" s="32" t="str">
        <f t="shared" si="20"/>
        <v/>
      </c>
      <c r="M187" s="17"/>
      <c r="N187" s="32" t="str">
        <f t="shared" si="21"/>
        <v/>
      </c>
      <c r="O187" s="74" t="str">
        <f t="shared" ca="1" si="22"/>
        <v/>
      </c>
      <c r="P187" s="75" t="str">
        <f t="shared" ca="1" si="23"/>
        <v/>
      </c>
      <c r="Q187" s="71"/>
    </row>
    <row r="188" spans="2:17" ht="15.75" customHeight="1" x14ac:dyDescent="0.2">
      <c r="B188" s="66">
        <v>179</v>
      </c>
      <c r="C188" s="30"/>
      <c r="D188" s="30"/>
      <c r="E188" s="30"/>
      <c r="F188" s="43"/>
      <c r="G188" s="43"/>
      <c r="H188" s="17"/>
      <c r="I188" s="67" t="str">
        <f>IF(H188&lt;&gt;"",H188*Supuestos!$C$11,"")</f>
        <v/>
      </c>
      <c r="J188" s="67" t="str">
        <f>IF(H188&lt;&gt;"",H188*Supuestos!$C$12*Supuestos!$C$13,"")</f>
        <v/>
      </c>
      <c r="K188" s="67" t="str">
        <f>IF(H188&lt;&gt;"",H188*Supuestos!$C$14,"")</f>
        <v/>
      </c>
      <c r="L188" s="68" t="str">
        <f t="shared" si="20"/>
        <v/>
      </c>
      <c r="M188" s="17"/>
      <c r="N188" s="68" t="str">
        <f t="shared" si="21"/>
        <v/>
      </c>
      <c r="O188" s="69" t="str">
        <f t="shared" ca="1" si="22"/>
        <v/>
      </c>
      <c r="P188" s="70" t="str">
        <f t="shared" ca="1" si="23"/>
        <v/>
      </c>
      <c r="Q188" s="71"/>
    </row>
    <row r="189" spans="2:17" ht="15.75" customHeight="1" x14ac:dyDescent="0.2">
      <c r="B189" s="72">
        <v>180</v>
      </c>
      <c r="C189" s="30"/>
      <c r="D189" s="30"/>
      <c r="E189" s="30"/>
      <c r="F189" s="43"/>
      <c r="G189" s="43"/>
      <c r="H189" s="17"/>
      <c r="I189" s="73" t="str">
        <f>IF(H189&lt;&gt;"",H189*Supuestos!$C$11,"")</f>
        <v/>
      </c>
      <c r="J189" s="73" t="str">
        <f>IF(H189&lt;&gt;"",H189*Supuestos!$C$12*Supuestos!$C$13,"")</f>
        <v/>
      </c>
      <c r="K189" s="73" t="str">
        <f>IF(H189&lt;&gt;"",H189*Supuestos!$C$14,"")</f>
        <v/>
      </c>
      <c r="L189" s="32" t="str">
        <f t="shared" si="20"/>
        <v/>
      </c>
      <c r="M189" s="17"/>
      <c r="N189" s="32" t="str">
        <f t="shared" si="21"/>
        <v/>
      </c>
      <c r="O189" s="74" t="str">
        <f t="shared" ca="1" si="22"/>
        <v/>
      </c>
      <c r="P189" s="75" t="str">
        <f t="shared" ca="1" si="23"/>
        <v/>
      </c>
      <c r="Q189" s="71"/>
    </row>
    <row r="190" spans="2:17" ht="15.75" customHeight="1" x14ac:dyDescent="0.2">
      <c r="B190" s="66">
        <v>181</v>
      </c>
      <c r="C190" s="30"/>
      <c r="D190" s="30"/>
      <c r="E190" s="30"/>
      <c r="F190" s="43"/>
      <c r="G190" s="43"/>
      <c r="H190" s="17"/>
      <c r="I190" s="67" t="str">
        <f>IF(H190&lt;&gt;"",H190*Supuestos!$C$11,"")</f>
        <v/>
      </c>
      <c r="J190" s="67" t="str">
        <f>IF(H190&lt;&gt;"",H190*Supuestos!$C$12*Supuestos!$C$13,"")</f>
        <v/>
      </c>
      <c r="K190" s="67" t="str">
        <f>IF(H190&lt;&gt;"",H190*Supuestos!$C$14,"")</f>
        <v/>
      </c>
      <c r="L190" s="68" t="str">
        <f t="shared" si="20"/>
        <v/>
      </c>
      <c r="M190" s="17"/>
      <c r="N190" s="68" t="str">
        <f t="shared" si="21"/>
        <v/>
      </c>
      <c r="O190" s="69" t="str">
        <f t="shared" ca="1" si="22"/>
        <v/>
      </c>
      <c r="P190" s="70" t="str">
        <f t="shared" ca="1" si="23"/>
        <v/>
      </c>
      <c r="Q190" s="71"/>
    </row>
    <row r="191" spans="2:17" ht="15.75" customHeight="1" x14ac:dyDescent="0.2">
      <c r="B191" s="72">
        <v>182</v>
      </c>
      <c r="C191" s="30"/>
      <c r="D191" s="30"/>
      <c r="E191" s="30"/>
      <c r="F191" s="43"/>
      <c r="G191" s="43"/>
      <c r="H191" s="17"/>
      <c r="I191" s="73" t="str">
        <f>IF(H191&lt;&gt;"",H191*Supuestos!$C$11,"")</f>
        <v/>
      </c>
      <c r="J191" s="73" t="str">
        <f>IF(H191&lt;&gt;"",H191*Supuestos!$C$12*Supuestos!$C$13,"")</f>
        <v/>
      </c>
      <c r="K191" s="73" t="str">
        <f>IF(H191&lt;&gt;"",H191*Supuestos!$C$14,"")</f>
        <v/>
      </c>
      <c r="L191" s="32" t="str">
        <f t="shared" si="20"/>
        <v/>
      </c>
      <c r="M191" s="17"/>
      <c r="N191" s="32" t="str">
        <f t="shared" si="21"/>
        <v/>
      </c>
      <c r="O191" s="74" t="str">
        <f t="shared" ca="1" si="22"/>
        <v/>
      </c>
      <c r="P191" s="75" t="str">
        <f t="shared" ca="1" si="23"/>
        <v/>
      </c>
      <c r="Q191" s="71"/>
    </row>
    <row r="192" spans="2:17" ht="15.75" customHeight="1" x14ac:dyDescent="0.2">
      <c r="B192" s="66">
        <v>183</v>
      </c>
      <c r="C192" s="30"/>
      <c r="D192" s="30"/>
      <c r="E192" s="30"/>
      <c r="F192" s="43"/>
      <c r="G192" s="43"/>
      <c r="H192" s="17"/>
      <c r="I192" s="67" t="str">
        <f>IF(H192&lt;&gt;"",H192*Supuestos!$C$11,"")</f>
        <v/>
      </c>
      <c r="J192" s="67" t="str">
        <f>IF(H192&lt;&gt;"",H192*Supuestos!$C$12*Supuestos!$C$13,"")</f>
        <v/>
      </c>
      <c r="K192" s="67" t="str">
        <f>IF(H192&lt;&gt;"",H192*Supuestos!$C$14,"")</f>
        <v/>
      </c>
      <c r="L192" s="68" t="str">
        <f t="shared" si="20"/>
        <v/>
      </c>
      <c r="M192" s="17"/>
      <c r="N192" s="68" t="str">
        <f t="shared" si="21"/>
        <v/>
      </c>
      <c r="O192" s="69" t="str">
        <f t="shared" ca="1" si="22"/>
        <v/>
      </c>
      <c r="P192" s="70" t="str">
        <f t="shared" ca="1" si="23"/>
        <v/>
      </c>
      <c r="Q192" s="71"/>
    </row>
    <row r="193" spans="2:17" ht="15.75" customHeight="1" x14ac:dyDescent="0.2">
      <c r="B193" s="72">
        <v>184</v>
      </c>
      <c r="C193" s="30"/>
      <c r="D193" s="30"/>
      <c r="E193" s="30"/>
      <c r="F193" s="43"/>
      <c r="G193" s="43"/>
      <c r="H193" s="17"/>
      <c r="I193" s="73" t="str">
        <f>IF(H193&lt;&gt;"",H193*Supuestos!$C$11,"")</f>
        <v/>
      </c>
      <c r="J193" s="73" t="str">
        <f>IF(H193&lt;&gt;"",H193*Supuestos!$C$12*Supuestos!$C$13,"")</f>
        <v/>
      </c>
      <c r="K193" s="73" t="str">
        <f>IF(H193&lt;&gt;"",H193*Supuestos!$C$14,"")</f>
        <v/>
      </c>
      <c r="L193" s="32" t="str">
        <f t="shared" si="20"/>
        <v/>
      </c>
      <c r="M193" s="17"/>
      <c r="N193" s="32" t="str">
        <f t="shared" si="21"/>
        <v/>
      </c>
      <c r="O193" s="74" t="str">
        <f t="shared" ca="1" si="22"/>
        <v/>
      </c>
      <c r="P193" s="75" t="str">
        <f t="shared" ca="1" si="23"/>
        <v/>
      </c>
      <c r="Q193" s="71"/>
    </row>
    <row r="194" spans="2:17" ht="15.75" customHeight="1" x14ac:dyDescent="0.2">
      <c r="B194" s="66">
        <v>185</v>
      </c>
      <c r="C194" s="30"/>
      <c r="D194" s="30"/>
      <c r="E194" s="30"/>
      <c r="F194" s="43"/>
      <c r="G194" s="43"/>
      <c r="H194" s="17"/>
      <c r="I194" s="67" t="str">
        <f>IF(H194&lt;&gt;"",H194*Supuestos!$C$11,"")</f>
        <v/>
      </c>
      <c r="J194" s="67" t="str">
        <f>IF(H194&lt;&gt;"",H194*Supuestos!$C$12*Supuestos!$C$13,"")</f>
        <v/>
      </c>
      <c r="K194" s="67" t="str">
        <f>IF(H194&lt;&gt;"",H194*Supuestos!$C$14,"")</f>
        <v/>
      </c>
      <c r="L194" s="68" t="str">
        <f t="shared" si="20"/>
        <v/>
      </c>
      <c r="M194" s="17"/>
      <c r="N194" s="68" t="str">
        <f t="shared" si="21"/>
        <v/>
      </c>
      <c r="O194" s="69" t="str">
        <f t="shared" ca="1" si="22"/>
        <v/>
      </c>
      <c r="P194" s="70" t="str">
        <f t="shared" ca="1" si="23"/>
        <v/>
      </c>
      <c r="Q194" s="71"/>
    </row>
    <row r="195" spans="2:17" ht="15.75" customHeight="1" x14ac:dyDescent="0.2">
      <c r="B195" s="72">
        <v>186</v>
      </c>
      <c r="C195" s="30"/>
      <c r="D195" s="30"/>
      <c r="E195" s="30"/>
      <c r="F195" s="43"/>
      <c r="G195" s="43"/>
      <c r="H195" s="17"/>
      <c r="I195" s="73" t="str">
        <f>IF(H195&lt;&gt;"",H195*Supuestos!$C$11,"")</f>
        <v/>
      </c>
      <c r="J195" s="73" t="str">
        <f>IF(H195&lt;&gt;"",H195*Supuestos!$C$12*Supuestos!$C$13,"")</f>
        <v/>
      </c>
      <c r="K195" s="73" t="str">
        <f>IF(H195&lt;&gt;"",H195*Supuestos!$C$14,"")</f>
        <v/>
      </c>
      <c r="L195" s="32" t="str">
        <f t="shared" si="20"/>
        <v/>
      </c>
      <c r="M195" s="17"/>
      <c r="N195" s="32" t="str">
        <f t="shared" si="21"/>
        <v/>
      </c>
      <c r="O195" s="74" t="str">
        <f t="shared" ca="1" si="22"/>
        <v/>
      </c>
      <c r="P195" s="75" t="str">
        <f t="shared" ca="1" si="23"/>
        <v/>
      </c>
      <c r="Q195" s="71"/>
    </row>
    <row r="196" spans="2:17" ht="15.75" customHeight="1" x14ac:dyDescent="0.2">
      <c r="B196" s="66">
        <v>187</v>
      </c>
      <c r="C196" s="30"/>
      <c r="D196" s="30"/>
      <c r="E196" s="30"/>
      <c r="F196" s="43"/>
      <c r="G196" s="43"/>
      <c r="H196" s="17"/>
      <c r="I196" s="67" t="str">
        <f>IF(H196&lt;&gt;"",H196*Supuestos!$C$11,"")</f>
        <v/>
      </c>
      <c r="J196" s="67" t="str">
        <f>IF(H196&lt;&gt;"",H196*Supuestos!$C$12*Supuestos!$C$13,"")</f>
        <v/>
      </c>
      <c r="K196" s="67" t="str">
        <f>IF(H196&lt;&gt;"",H196*Supuestos!$C$14,"")</f>
        <v/>
      </c>
      <c r="L196" s="68" t="str">
        <f t="shared" si="20"/>
        <v/>
      </c>
      <c r="M196" s="17"/>
      <c r="N196" s="68" t="str">
        <f t="shared" si="21"/>
        <v/>
      </c>
      <c r="O196" s="69" t="str">
        <f t="shared" ca="1" si="22"/>
        <v/>
      </c>
      <c r="P196" s="70" t="str">
        <f t="shared" ca="1" si="23"/>
        <v/>
      </c>
      <c r="Q196" s="71"/>
    </row>
    <row r="197" spans="2:17" ht="15.75" customHeight="1" x14ac:dyDescent="0.2">
      <c r="B197" s="72">
        <v>188</v>
      </c>
      <c r="C197" s="30"/>
      <c r="D197" s="30"/>
      <c r="E197" s="30"/>
      <c r="F197" s="43"/>
      <c r="G197" s="43"/>
      <c r="H197" s="17"/>
      <c r="I197" s="73" t="str">
        <f>IF(H197&lt;&gt;"",H197*Supuestos!$C$11,"")</f>
        <v/>
      </c>
      <c r="J197" s="73" t="str">
        <f>IF(H197&lt;&gt;"",H197*Supuestos!$C$12*Supuestos!$C$13,"")</f>
        <v/>
      </c>
      <c r="K197" s="73" t="str">
        <f>IF(H197&lt;&gt;"",H197*Supuestos!$C$14,"")</f>
        <v/>
      </c>
      <c r="L197" s="32" t="str">
        <f t="shared" si="20"/>
        <v/>
      </c>
      <c r="M197" s="17"/>
      <c r="N197" s="32" t="str">
        <f t="shared" si="21"/>
        <v/>
      </c>
      <c r="O197" s="74" t="str">
        <f t="shared" ca="1" si="22"/>
        <v/>
      </c>
      <c r="P197" s="75" t="str">
        <f t="shared" ca="1" si="23"/>
        <v/>
      </c>
      <c r="Q197" s="71"/>
    </row>
    <row r="198" spans="2:17" ht="15.75" customHeight="1" x14ac:dyDescent="0.2">
      <c r="B198" s="66">
        <v>189</v>
      </c>
      <c r="C198" s="30"/>
      <c r="D198" s="30"/>
      <c r="E198" s="30"/>
      <c r="F198" s="43"/>
      <c r="G198" s="43"/>
      <c r="H198" s="17"/>
      <c r="I198" s="67" t="str">
        <f>IF(H198&lt;&gt;"",H198*Supuestos!$C$11,"")</f>
        <v/>
      </c>
      <c r="J198" s="67" t="str">
        <f>IF(H198&lt;&gt;"",H198*Supuestos!$C$12*Supuestos!$C$13,"")</f>
        <v/>
      </c>
      <c r="K198" s="67" t="str">
        <f>IF(H198&lt;&gt;"",H198*Supuestos!$C$14,"")</f>
        <v/>
      </c>
      <c r="L198" s="68" t="str">
        <f t="shared" si="20"/>
        <v/>
      </c>
      <c r="M198" s="17"/>
      <c r="N198" s="68" t="str">
        <f t="shared" si="21"/>
        <v/>
      </c>
      <c r="O198" s="69" t="str">
        <f t="shared" ca="1" si="22"/>
        <v/>
      </c>
      <c r="P198" s="70" t="str">
        <f t="shared" ca="1" si="23"/>
        <v/>
      </c>
      <c r="Q198" s="71"/>
    </row>
    <row r="199" spans="2:17" ht="15.75" customHeight="1" x14ac:dyDescent="0.2">
      <c r="B199" s="72">
        <v>190</v>
      </c>
      <c r="C199" s="30"/>
      <c r="D199" s="30"/>
      <c r="E199" s="30"/>
      <c r="F199" s="43"/>
      <c r="G199" s="43"/>
      <c r="H199" s="17"/>
      <c r="I199" s="73" t="str">
        <f>IF(H199&lt;&gt;"",H199*Supuestos!$C$11,"")</f>
        <v/>
      </c>
      <c r="J199" s="73" t="str">
        <f>IF(H199&lt;&gt;"",H199*Supuestos!$C$12*Supuestos!$C$13,"")</f>
        <v/>
      </c>
      <c r="K199" s="73" t="str">
        <f>IF(H199&lt;&gt;"",H199*Supuestos!$C$14,"")</f>
        <v/>
      </c>
      <c r="L199" s="32" t="str">
        <f t="shared" si="20"/>
        <v/>
      </c>
      <c r="M199" s="17"/>
      <c r="N199" s="32" t="str">
        <f t="shared" si="21"/>
        <v/>
      </c>
      <c r="O199" s="74" t="str">
        <f t="shared" ca="1" si="22"/>
        <v/>
      </c>
      <c r="P199" s="75" t="str">
        <f t="shared" ca="1" si="23"/>
        <v/>
      </c>
      <c r="Q199" s="71"/>
    </row>
    <row r="200" spans="2:17" ht="15.75" customHeight="1" x14ac:dyDescent="0.2">
      <c r="B200" s="66">
        <v>191</v>
      </c>
      <c r="C200" s="30"/>
      <c r="D200" s="30"/>
      <c r="E200" s="30"/>
      <c r="F200" s="43"/>
      <c r="G200" s="43"/>
      <c r="H200" s="17"/>
      <c r="I200" s="67" t="str">
        <f>IF(H200&lt;&gt;"",H200*Supuestos!$C$11,"")</f>
        <v/>
      </c>
      <c r="J200" s="67" t="str">
        <f>IF(H200&lt;&gt;"",H200*Supuestos!$C$12*Supuestos!$C$13,"")</f>
        <v/>
      </c>
      <c r="K200" s="67" t="str">
        <f>IF(H200&lt;&gt;"",H200*Supuestos!$C$14,"")</f>
        <v/>
      </c>
      <c r="L200" s="68" t="str">
        <f t="shared" si="20"/>
        <v/>
      </c>
      <c r="M200" s="17"/>
      <c r="N200" s="68" t="str">
        <f t="shared" si="21"/>
        <v/>
      </c>
      <c r="O200" s="69" t="str">
        <f t="shared" ca="1" si="22"/>
        <v/>
      </c>
      <c r="P200" s="70" t="str">
        <f t="shared" ca="1" si="23"/>
        <v/>
      </c>
      <c r="Q200" s="71"/>
    </row>
    <row r="201" spans="2:17" ht="15.75" customHeight="1" x14ac:dyDescent="0.2">
      <c r="B201" s="72">
        <v>192</v>
      </c>
      <c r="C201" s="30"/>
      <c r="D201" s="30"/>
      <c r="E201" s="30"/>
      <c r="F201" s="43"/>
      <c r="G201" s="43"/>
      <c r="H201" s="17"/>
      <c r="I201" s="73" t="str">
        <f>IF(H201&lt;&gt;"",H201*Supuestos!$C$11,"")</f>
        <v/>
      </c>
      <c r="J201" s="73" t="str">
        <f>IF(H201&lt;&gt;"",H201*Supuestos!$C$12*Supuestos!$C$13,"")</f>
        <v/>
      </c>
      <c r="K201" s="73" t="str">
        <f>IF(H201&lt;&gt;"",H201*Supuestos!$C$14,"")</f>
        <v/>
      </c>
      <c r="L201" s="32" t="str">
        <f t="shared" si="20"/>
        <v/>
      </c>
      <c r="M201" s="17"/>
      <c r="N201" s="32" t="str">
        <f t="shared" si="21"/>
        <v/>
      </c>
      <c r="O201" s="74" t="str">
        <f t="shared" ca="1" si="22"/>
        <v/>
      </c>
      <c r="P201" s="75" t="str">
        <f t="shared" ca="1" si="23"/>
        <v/>
      </c>
      <c r="Q201" s="71"/>
    </row>
    <row r="202" spans="2:17" ht="15.75" customHeight="1" x14ac:dyDescent="0.2">
      <c r="B202" s="66">
        <v>193</v>
      </c>
      <c r="C202" s="30"/>
      <c r="D202" s="30"/>
      <c r="E202" s="30"/>
      <c r="F202" s="43"/>
      <c r="G202" s="43"/>
      <c r="H202" s="17"/>
      <c r="I202" s="67" t="str">
        <f>IF(H202&lt;&gt;"",H202*Supuestos!$C$11,"")</f>
        <v/>
      </c>
      <c r="J202" s="67" t="str">
        <f>IF(H202&lt;&gt;"",H202*Supuestos!$C$12*Supuestos!$C$13,"")</f>
        <v/>
      </c>
      <c r="K202" s="67" t="str">
        <f>IF(H202&lt;&gt;"",H202*Supuestos!$C$14,"")</f>
        <v/>
      </c>
      <c r="L202" s="68" t="str">
        <f t="shared" ref="L202:L233" si="24">IF(H202&lt;&gt;"",H202+I202-J202-K202,"")</f>
        <v/>
      </c>
      <c r="M202" s="17"/>
      <c r="N202" s="68" t="str">
        <f t="shared" ref="N202:N233" si="25">IF(H202&lt;&gt;"",IF(M202&lt;&gt;"",L202-M202,L202),"")</f>
        <v/>
      </c>
      <c r="O202" s="69" t="str">
        <f t="shared" ref="O202:O233" ca="1" si="26">IF(AND(H202&lt;&gt;"",N202&gt;0,G202&lt;&gt;""),MAX(TODAY()-G202,0),"")</f>
        <v/>
      </c>
      <c r="P202" s="70" t="str">
        <f t="shared" ref="P202:P209" ca="1" si="27">IF(H202="","",IF(N202&lt;=0,"COBRADA",IF(G202="","VIGENTE",IF(TODAY()&lt;=G202,"VIGENTE",IF(TODAY()-G202&lt;=30,"VENCIDA",IF(TODAY()-G202&lt;=90,"CRÍTICA","CASTIGAR"))))))</f>
        <v/>
      </c>
      <c r="Q202" s="71"/>
    </row>
    <row r="203" spans="2:17" ht="15.75" customHeight="1" x14ac:dyDescent="0.2">
      <c r="B203" s="72">
        <v>194</v>
      </c>
      <c r="C203" s="30"/>
      <c r="D203" s="30"/>
      <c r="E203" s="30"/>
      <c r="F203" s="43"/>
      <c r="G203" s="43"/>
      <c r="H203" s="17"/>
      <c r="I203" s="73" t="str">
        <f>IF(H203&lt;&gt;"",H203*Supuestos!$C$11,"")</f>
        <v/>
      </c>
      <c r="J203" s="73" t="str">
        <f>IF(H203&lt;&gt;"",H203*Supuestos!$C$12*Supuestos!$C$13,"")</f>
        <v/>
      </c>
      <c r="K203" s="73" t="str">
        <f>IF(H203&lt;&gt;"",H203*Supuestos!$C$14,"")</f>
        <v/>
      </c>
      <c r="L203" s="32" t="str">
        <f t="shared" si="24"/>
        <v/>
      </c>
      <c r="M203" s="17"/>
      <c r="N203" s="32" t="str">
        <f t="shared" si="25"/>
        <v/>
      </c>
      <c r="O203" s="74" t="str">
        <f t="shared" ca="1" si="26"/>
        <v/>
      </c>
      <c r="P203" s="75" t="str">
        <f t="shared" ca="1" si="27"/>
        <v/>
      </c>
      <c r="Q203" s="71"/>
    </row>
    <row r="204" spans="2:17" ht="15.75" customHeight="1" x14ac:dyDescent="0.2">
      <c r="B204" s="66">
        <v>195</v>
      </c>
      <c r="C204" s="30"/>
      <c r="D204" s="30"/>
      <c r="E204" s="30"/>
      <c r="F204" s="43"/>
      <c r="G204" s="43"/>
      <c r="H204" s="17"/>
      <c r="I204" s="67" t="str">
        <f>IF(H204&lt;&gt;"",H204*Supuestos!$C$11,"")</f>
        <v/>
      </c>
      <c r="J204" s="67" t="str">
        <f>IF(H204&lt;&gt;"",H204*Supuestos!$C$12*Supuestos!$C$13,"")</f>
        <v/>
      </c>
      <c r="K204" s="67" t="str">
        <f>IF(H204&lt;&gt;"",H204*Supuestos!$C$14,"")</f>
        <v/>
      </c>
      <c r="L204" s="68" t="str">
        <f t="shared" si="24"/>
        <v/>
      </c>
      <c r="M204" s="17"/>
      <c r="N204" s="68" t="str">
        <f t="shared" si="25"/>
        <v/>
      </c>
      <c r="O204" s="69" t="str">
        <f t="shared" ca="1" si="26"/>
        <v/>
      </c>
      <c r="P204" s="70" t="str">
        <f t="shared" ca="1" si="27"/>
        <v/>
      </c>
      <c r="Q204" s="71"/>
    </row>
    <row r="205" spans="2:17" ht="15.75" customHeight="1" x14ac:dyDescent="0.2">
      <c r="B205" s="72">
        <v>196</v>
      </c>
      <c r="C205" s="30"/>
      <c r="D205" s="30"/>
      <c r="E205" s="30"/>
      <c r="F205" s="43"/>
      <c r="G205" s="43"/>
      <c r="H205" s="17"/>
      <c r="I205" s="73" t="str">
        <f>IF(H205&lt;&gt;"",H205*Supuestos!$C$11,"")</f>
        <v/>
      </c>
      <c r="J205" s="73" t="str">
        <f>IF(H205&lt;&gt;"",H205*Supuestos!$C$12*Supuestos!$C$13,"")</f>
        <v/>
      </c>
      <c r="K205" s="73" t="str">
        <f>IF(H205&lt;&gt;"",H205*Supuestos!$C$14,"")</f>
        <v/>
      </c>
      <c r="L205" s="32" t="str">
        <f t="shared" si="24"/>
        <v/>
      </c>
      <c r="M205" s="17"/>
      <c r="N205" s="32" t="str">
        <f t="shared" si="25"/>
        <v/>
      </c>
      <c r="O205" s="74" t="str">
        <f t="shared" ca="1" si="26"/>
        <v/>
      </c>
      <c r="P205" s="75" t="str">
        <f t="shared" ca="1" si="27"/>
        <v/>
      </c>
      <c r="Q205" s="71"/>
    </row>
    <row r="206" spans="2:17" ht="15.75" customHeight="1" x14ac:dyDescent="0.2">
      <c r="B206" s="66">
        <v>197</v>
      </c>
      <c r="C206" s="30"/>
      <c r="D206" s="30"/>
      <c r="E206" s="30"/>
      <c r="F206" s="43"/>
      <c r="G206" s="43"/>
      <c r="H206" s="17"/>
      <c r="I206" s="67" t="str">
        <f>IF(H206&lt;&gt;"",H206*Supuestos!$C$11,"")</f>
        <v/>
      </c>
      <c r="J206" s="67" t="str">
        <f>IF(H206&lt;&gt;"",H206*Supuestos!$C$12*Supuestos!$C$13,"")</f>
        <v/>
      </c>
      <c r="K206" s="67" t="str">
        <f>IF(H206&lt;&gt;"",H206*Supuestos!$C$14,"")</f>
        <v/>
      </c>
      <c r="L206" s="68" t="str">
        <f t="shared" si="24"/>
        <v/>
      </c>
      <c r="M206" s="17"/>
      <c r="N206" s="68" t="str">
        <f t="shared" si="25"/>
        <v/>
      </c>
      <c r="O206" s="69" t="str">
        <f t="shared" ca="1" si="26"/>
        <v/>
      </c>
      <c r="P206" s="70" t="str">
        <f t="shared" ca="1" si="27"/>
        <v/>
      </c>
      <c r="Q206" s="71"/>
    </row>
    <row r="207" spans="2:17" ht="15.75" customHeight="1" x14ac:dyDescent="0.2">
      <c r="B207" s="72">
        <v>198</v>
      </c>
      <c r="C207" s="30"/>
      <c r="D207" s="30"/>
      <c r="E207" s="30"/>
      <c r="F207" s="43"/>
      <c r="G207" s="43"/>
      <c r="H207" s="17"/>
      <c r="I207" s="73" t="str">
        <f>IF(H207&lt;&gt;"",H207*Supuestos!$C$11,"")</f>
        <v/>
      </c>
      <c r="J207" s="73" t="str">
        <f>IF(H207&lt;&gt;"",H207*Supuestos!$C$12*Supuestos!$C$13,"")</f>
        <v/>
      </c>
      <c r="K207" s="73" t="str">
        <f>IF(H207&lt;&gt;"",H207*Supuestos!$C$14,"")</f>
        <v/>
      </c>
      <c r="L207" s="32" t="str">
        <f t="shared" si="24"/>
        <v/>
      </c>
      <c r="M207" s="17"/>
      <c r="N207" s="32" t="str">
        <f t="shared" si="25"/>
        <v/>
      </c>
      <c r="O207" s="74" t="str">
        <f t="shared" ca="1" si="26"/>
        <v/>
      </c>
      <c r="P207" s="75" t="str">
        <f t="shared" ca="1" si="27"/>
        <v/>
      </c>
      <c r="Q207" s="71"/>
    </row>
    <row r="208" spans="2:17" ht="15.75" customHeight="1" x14ac:dyDescent="0.2">
      <c r="B208" s="66">
        <v>199</v>
      </c>
      <c r="C208" s="30"/>
      <c r="D208" s="30"/>
      <c r="E208" s="30"/>
      <c r="F208" s="43"/>
      <c r="G208" s="43"/>
      <c r="H208" s="17"/>
      <c r="I208" s="67" t="str">
        <f>IF(H208&lt;&gt;"",H208*Supuestos!$C$11,"")</f>
        <v/>
      </c>
      <c r="J208" s="67" t="str">
        <f>IF(H208&lt;&gt;"",H208*Supuestos!$C$12*Supuestos!$C$13,"")</f>
        <v/>
      </c>
      <c r="K208" s="67" t="str">
        <f>IF(H208&lt;&gt;"",H208*Supuestos!$C$14,"")</f>
        <v/>
      </c>
      <c r="L208" s="68" t="str">
        <f t="shared" si="24"/>
        <v/>
      </c>
      <c r="M208" s="17"/>
      <c r="N208" s="68" t="str">
        <f t="shared" si="25"/>
        <v/>
      </c>
      <c r="O208" s="69" t="str">
        <f t="shared" ca="1" si="26"/>
        <v/>
      </c>
      <c r="P208" s="70" t="str">
        <f t="shared" ca="1" si="27"/>
        <v/>
      </c>
      <c r="Q208" s="71"/>
    </row>
    <row r="209" spans="2:17" ht="15.75" customHeight="1" x14ac:dyDescent="0.2">
      <c r="B209" s="72">
        <v>200</v>
      </c>
      <c r="C209" s="30"/>
      <c r="D209" s="30"/>
      <c r="E209" s="30"/>
      <c r="F209" s="43"/>
      <c r="G209" s="43"/>
      <c r="H209" s="17"/>
      <c r="I209" s="73" t="str">
        <f>IF(H209&lt;&gt;"",H209*Supuestos!$C$11,"")</f>
        <v/>
      </c>
      <c r="J209" s="73" t="str">
        <f>IF(H209&lt;&gt;"",H209*Supuestos!$C$12*Supuestos!$C$13,"")</f>
        <v/>
      </c>
      <c r="K209" s="73" t="str">
        <f>IF(H209&lt;&gt;"",H209*Supuestos!$C$14,"")</f>
        <v/>
      </c>
      <c r="L209" s="32" t="str">
        <f t="shared" si="24"/>
        <v/>
      </c>
      <c r="M209" s="17"/>
      <c r="N209" s="32" t="str">
        <f t="shared" si="25"/>
        <v/>
      </c>
      <c r="O209" s="74" t="str">
        <f t="shared" ca="1" si="26"/>
        <v/>
      </c>
      <c r="P209" s="75" t="str">
        <f t="shared" ca="1" si="27"/>
        <v/>
      </c>
      <c r="Q209" s="71"/>
    </row>
    <row r="211" spans="2:17" ht="15" customHeight="1" x14ac:dyDescent="0.2">
      <c r="B211" s="5" t="s">
        <v>252</v>
      </c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</row>
    <row r="212" spans="2:17" ht="15" customHeight="1" x14ac:dyDescent="0.2">
      <c r="B212" s="5" t="s">
        <v>253</v>
      </c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</row>
  </sheetData>
  <mergeCells count="18">
    <mergeCell ref="L7:M7"/>
    <mergeCell ref="N7:O7"/>
    <mergeCell ref="B211:Q211"/>
    <mergeCell ref="B212:Q212"/>
    <mergeCell ref="B7:C7"/>
    <mergeCell ref="D7:E7"/>
    <mergeCell ref="F7:G7"/>
    <mergeCell ref="H7:I7"/>
    <mergeCell ref="J7:K7"/>
    <mergeCell ref="B2:Q2"/>
    <mergeCell ref="B3:Q3"/>
    <mergeCell ref="B6:C6"/>
    <mergeCell ref="D6:E6"/>
    <mergeCell ref="F6:G6"/>
    <mergeCell ref="H6:I6"/>
    <mergeCell ref="J6:K6"/>
    <mergeCell ref="L6:M6"/>
    <mergeCell ref="N6:O6"/>
  </mergeCells>
  <conditionalFormatting sqref="O10:O209">
    <cfRule type="colorScale" priority="7">
      <colorScale>
        <cfvo type="num" val="0"/>
        <cfvo type="num" val="30"/>
        <cfvo type="num" val="90"/>
        <color rgb="FF63BE7B"/>
        <color rgb="FFFFEB84"/>
        <color rgb="FFF8696B"/>
      </colorScale>
    </cfRule>
  </conditionalFormatting>
  <conditionalFormatting sqref="P10:P209">
    <cfRule type="expression" dxfId="4" priority="2">
      <formula>P10="COBRADA"</formula>
    </cfRule>
    <cfRule type="expression" dxfId="3" priority="3">
      <formula>P10="VIGENTE"</formula>
    </cfRule>
    <cfRule type="expression" dxfId="2" priority="4">
      <formula>P10="VENCIDA"</formula>
    </cfRule>
    <cfRule type="expression" dxfId="1" priority="5">
      <formula>P10="CRÍTICA"</formula>
    </cfRule>
    <cfRule type="expression" dxfId="0" priority="6">
      <formula>P10="CASTIGAR"</formula>
    </cfRule>
  </conditionalFormatting>
  <hyperlinks>
    <hyperlink ref="B4" location="'Flujo de Caja'!A1" display="→ Flujo de Caja" xr:uid="{00000000-0004-0000-0400-000000000000}"/>
    <hyperlink ref="C4" location="'Supuestos'!A1" display="→ Supuestos" xr:uid="{00000000-0004-0000-0400-000001000000}"/>
    <hyperlink ref="D4" location="'Calendario Tributario'!A1" display="→ Calendario Tributario" xr:uid="{00000000-0004-0000-0400-000002000000}"/>
  </hyperlink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Macintosh Excel</Application>
  <DocSecurity>0</DocSecurity>
  <ScaleCrop>false</ScaleCrop>
  <HeadingPairs>
    <vt:vector size="4" baseType="variant">
      <vt:variant>
        <vt:lpstr>Hojas de cálculo</vt:lpstr>
      </vt:variant>
      <vt:variant>
        <vt:i4>5</vt:i4>
      </vt:variant>
      <vt:variant>
        <vt:lpstr>Rangos con nombre</vt:lpstr>
      </vt:variant>
      <vt:variant>
        <vt:i4>1</vt:i4>
      </vt:variant>
    </vt:vector>
  </HeadingPairs>
  <TitlesOfParts>
    <vt:vector size="6" baseType="lpstr">
      <vt:lpstr>Supuestos</vt:lpstr>
      <vt:lpstr>Flujo de Caja</vt:lpstr>
      <vt:lpstr>Dashboard</vt:lpstr>
      <vt:lpstr>Calendario Tributario</vt:lpstr>
      <vt:lpstr>Control de Cartera</vt:lpstr>
      <vt:lpstr>Supuestos!Área_de_impresión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Jorge Salinas</cp:lastModifiedBy>
  <cp:revision>2</cp:revision>
  <dcterms:created xsi:type="dcterms:W3CDTF">2026-04-02T21:08:29Z</dcterms:created>
  <dcterms:modified xsi:type="dcterms:W3CDTF">2026-04-04T05:35:04Z</dcterms:modified>
  <dc:language>en-US</dc:language>
</cp:coreProperties>
</file>
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🧮 Calculadora Nómina" sheetId="1" state="visible" r:id="rId3"/>
    <sheet name="📖 Guía Leg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Mínimo legal Colombia 2025: $1.423.500
Este es el salario que ACUERDAS con el empleado — lo que aparece en el contrato. El costo real que pagas como empresa es significativamente mayor.</t>
        </r>
      </text>
    </comment>
    <comment ref="B6" authorId="0">
      <text>
        <r>
          <rPr>
            <sz val="10"/>
            <rFont val="Arial"/>
            <family val="2"/>
          </rPr>
          <t xml:space="preserve">Obligatorio si salario ≤ 2 SMMLV ($2.847.000).
Valor 2025: $200.000/mes
Si el salario supera ese tope, cambia este campo a $0.</t>
        </r>
      </text>
    </comment>
    <comment ref="B14" authorId="0">
      <text>
        <r>
          <rPr>
            <sz val="10"/>
            <rFont val="Arial"/>
            <family val="2"/>
          </rPr>
          <t xml:space="preserve">Clase de riesgo para empresa de tecnología / consultoría / educación = Clase I = 0.522%
Clase II: 1.044%
Clase III: 2.436%
Clase IV: 4.350%
Clase V: 6.960%</t>
        </r>
      </text>
    </comment>
    <comment ref="B17" authorId="0">
      <text>
        <r>
          <rPr>
            <sz val="10"/>
            <rFont val="Arial"/>
            <family val="2"/>
          </rPr>
          <t xml:space="preserve">Pon 'SI' si el salario supera $14.235.000 (10 SMMLV 2025).
Por debajo de ese umbral, la Ley 1607/2012 exonera a las SAS y personas jurídicas de pagar SENA (2%) e ICBF (3%). Es una de las mayores ventajas de ser SAS en Colombia.</t>
        </r>
      </text>
    </comment>
    <comment ref="C39" authorId="0">
      <text>
        <r>
          <rPr>
            <sz val="10"/>
            <rFont val="Arial"/>
            <family val="2"/>
          </rPr>
          <t xml:space="preserve">Este es el DINERO REAL que sale de tu caja cada mes por tener esta persona contratada.
Incluye:
• Lo que le pagas directamente
• Los aportes a seguridad social
• Las provisiones de prestaciones (que pagas en junio, dic, ene)</t>
        </r>
      </text>
    </comment>
  </commentList>
</comments>
</file>

<file path=xl/sharedStrings.xml><?xml version="1.0" encoding="utf-8"?>
<sst xmlns="http://schemas.openxmlformats.org/spreadsheetml/2006/main" count="125" uniqueCount="122">
  <si>
    <t xml:space="preserve">CALCULADORA DE COSTO REAL DE NÓMINA — COLOMBIA 2025</t>
  </si>
  <si>
    <t xml:space="preserve">SAS · Contrato a término indefinido · Jornada completa · Régimen general</t>
  </si>
  <si>
    <t xml:space="preserve">CONCEPTO</t>
  </si>
  <si>
    <t xml:space="preserve">VALOR / %</t>
  </si>
  <si>
    <t xml:space="preserve">VALOR MENSUAL (COP)</t>
  </si>
  <si>
    <t xml:space="preserve">NOTAS</t>
  </si>
  <si>
    <t xml:space="preserve">📥  DATOS BASE — ingresa solo las celdas amarillas</t>
  </si>
  <si>
    <t xml:space="preserve">Salario básico mensual pactado</t>
  </si>
  <si>
    <t xml:space="preserve">Salario que acuerdas con el empleado. Mínimo legal 2025: $1.423.500</t>
  </si>
  <si>
    <t xml:space="preserve">Auxilio de transporte mensual</t>
  </si>
  <si>
    <t xml:space="preserve">Obligatorio si el salario es ≤ 2 SMMLV ($2.847.000). Actualmente $200.000. Cámbialo a $0 si el salario supera ese tope.</t>
  </si>
  <si>
    <t xml:space="preserve">Otros pagos salariales (bonos, comisiones, etc.)</t>
  </si>
  <si>
    <t xml:space="preserve">Suma de bonificaciones habituales y comisiones que son SALARIO (constituyen factor salarial). No incluyas beneficios extrasalariales aquí.</t>
  </si>
  <si>
    <t xml:space="preserve">SALARIO TOTAL BASE (para liquidar prestaciones)</t>
  </si>
  <si>
    <t xml:space="preserve">Salario básico + pagos salariales. El auxilio de transporte NO es base para prestaciones (excepto cesantías e intereses). Este es el número que se usa para calcular todo lo de abajo.</t>
  </si>
  <si>
    <t xml:space="preserve">Ingreso Base de Cotización — IBC (para seguridad social)</t>
  </si>
  <si>
    <t xml:space="preserve">Base sobre la que se calculan salud, pensión y ARL. Mínimo = 1 SMMLV. Máximo = 25 SMMLV ($35.587.500). Si el salario básico supera ese tope, el aporte se topa ahí.</t>
  </si>
  <si>
    <t xml:space="preserve">🏦  APORTES OBLIGATORIOS — A CARGO DEL EMPLEADOR (% sobre IBC)</t>
  </si>
  <si>
    <t xml:space="preserve">Salud — aporte empleador (8.5%)</t>
  </si>
  <si>
    <t xml:space="preserve">El empleador paga el 8.5% y el empleado el 4%. Se descuenta de nómina y se paga a la EPS.</t>
  </si>
  <si>
    <t xml:space="preserve">Pensión — aporte empleador (12%)</t>
  </si>
  <si>
    <t xml:space="preserve">El empleador paga el 12% y el empleado el 4%. Se paga al fondo de pensiones escogido por el trabajador.</t>
  </si>
  <si>
    <t xml:space="preserve">ARL — Riesgo laboral (% según clase de riesgo)</t>
  </si>
  <si>
    <t xml:space="preserve">Depende de la clase de riesgo de la actividad:
I (mínimo): 0.522% — oficinas, trabajo remoto
II: 1.044%
III: 2.436%
IV: 4.350%
V (máximo): 6.960% — industria pesada
Para una empresa de tecnología/consultoría = Clase I (0.522%)</t>
  </si>
  <si>
    <t xml:space="preserve">   ARL — valor mensual</t>
  </si>
  <si>
    <t xml:space="preserve">Calculado sobre el IBC con la tasa de riesgo ingresada.</t>
  </si>
  <si>
    <t xml:space="preserve">Caja de Compensación Familiar (4%)</t>
  </si>
  <si>
    <t xml:space="preserve">Se paga a la caja de compensación donde afilies al empleado (Compensar, Cafam, Colsubsidio, etc.). Financia subsidios de vivienda, recreación, crédito para el trabajador.</t>
  </si>
  <si>
    <t xml:space="preserve">¿Salario &gt; 10 SMMLV? (exoneración SENA e ICBF)</t>
  </si>
  <si>
    <t xml:space="preserve">NO</t>
  </si>
  <si>
    <t xml:space="preserve">Si el salario es MENOR a 10 SMMLV ($14.235.000), la empresa está EXONERADA de pagar SENA (2%) e ICBF (3%) por Ley 1607/2012. Pon 'SI' solo si supera ese umbral.</t>
  </si>
  <si>
    <t xml:space="preserve">SENA (2%) — solo si salario &gt; 10 SMMLV</t>
  </si>
  <si>
    <t xml:space="preserve">Exonerado para salarios ≤ 10 SMMLV ($14.235.000). Si aplica, va al Servicio Nacional de Aprendizaje.</t>
  </si>
  <si>
    <t xml:space="preserve">ICBF (3%) — solo si salario &gt; 10 SMMLV</t>
  </si>
  <si>
    <t xml:space="preserve">Exonerado para salarios ≤ 10 SMMLV. Si aplica, va al Instituto Colombiano de Bienestar Familiar.</t>
  </si>
  <si>
    <t xml:space="preserve">SUBTOTAL SEGURIDAD SOCIAL + PARAFISCALES</t>
  </si>
  <si>
    <t xml:space="preserve">Suma de todos los aportes que paga la empresa mensualmente a entidades externas.</t>
  </si>
  <si>
    <t xml:space="preserve">🎁  PRESTACIONES SOCIALES — PROVISIÓN MENSUAL (el empleador las acumula y paga en fechas específicas)</t>
  </si>
  <si>
    <t xml:space="preserve">Prima de servicios (8.33% → 1 mes de salario/año)</t>
  </si>
  <si>
    <t xml:space="preserve">Equivale a 1 salario completo por año, pagado en 2 cuotas: junio 30 y diciembre 20. Base = salario + auxilio de transporte. Provisiona el 8.33% cada mes para no tener el golpe de caja.</t>
  </si>
  <si>
    <t xml:space="preserve">Cesantías (8.33% → 1 mes de salario/año)</t>
  </si>
  <si>
    <t xml:space="preserve">Un mes de salario por año trabajado. Se consignan al fondo de cesantías antes del 14 de febrero de cada año. El trabajador las puede retirar para vivienda o educación, o las recibe al terminar el contrato.</t>
  </si>
  <si>
    <t xml:space="preserve">Intereses sobre cesantías (1% mensual → 12%/año)</t>
  </si>
  <si>
    <t xml:space="preserve">El empleador paga al trabajador el 12% anual sobre las cesantías acumuladas. Se paga directamente al trabajador en enero (antes del 31 de enero). Provisiona el 1% mensual.</t>
  </si>
  <si>
    <t xml:space="preserve">Vacaciones (4.17% → 15 días hábiles/año)</t>
  </si>
  <si>
    <t xml:space="preserve">15 días hábiles de vacaciones remuneradas por año. Base = solo salario básico (el auxilio de transporte NO entra). Si no se toman, se pagan en dinero. Provisiona el 4.17% mensual.</t>
  </si>
  <si>
    <t xml:space="preserve">SUBTOTAL PRESTACIONES SOCIALES (provisión mensual)</t>
  </si>
  <si>
    <t xml:space="preserve">Este dinero NO sale todos los meses — se provisiona (guarda) para pagarlo en las fechas que exige la ley. Si no lo reservas, tendrás un golpe de caja fuerte en junio, diciembre y enero.</t>
  </si>
  <si>
    <t xml:space="preserve">👔  DOTACIÓN (para salarios ≤ 2 SMMLV)</t>
  </si>
  <si>
    <t xml:space="preserve">Costo dotación anual estimado</t>
  </si>
  <si>
    <t xml:space="preserve">Obligatoria si el salario es ≤ 2 SMMLV ($2.847.000). Se entrega 3 veces al año (abril, agosto, diciembre): calzado + vestido de labor. Valor aproximado: $200K por entrega = $600K/año. Provisiona $50K/mes.</t>
  </si>
  <si>
    <t xml:space="preserve">   Dotación — provisión mensual</t>
  </si>
  <si>
    <t xml:space="preserve">Se divide el costo anual entre 12 para distribuirlo mes a mes en el costo real.</t>
  </si>
  <si>
    <t xml:space="preserve">📊  RESUMEN — COSTO REAL TOTAL PARA LA EMPRESA</t>
  </si>
  <si>
    <t xml:space="preserve">Salario básico + pagos salariales</t>
  </si>
  <si>
    <t xml:space="preserve">Auxilio de transporte</t>
  </si>
  <si>
    <t xml:space="preserve">Seguridad social + parafiscales</t>
  </si>
  <si>
    <t xml:space="preserve">Prestaciones sociales (provisión)</t>
  </si>
  <si>
    <t xml:space="preserve">Dotación (provisión mensual)</t>
  </si>
  <si>
    <t xml:space="preserve">💰  COSTO TOTAL MENSUAL REAL PARA LA EMPRESA</t>
  </si>
  <si>
    <t xml:space="preserve">Factor multiplicador (costo real / salario pactado)</t>
  </si>
  <si>
    <t xml:space="preserve">Regla de oro: por cada $1 de salario pactado, la empresa paga entre $1.50 y $1.60 en total. Este número te lo confirma.</t>
  </si>
  <si>
    <t xml:space="preserve">📤  DESCUENTOS AL EMPLEADO (lo que se le descuenta de nómina — informativo)</t>
  </si>
  <si>
    <t xml:space="preserve">Salud — aporte empleado (4%)</t>
  </si>
  <si>
    <t xml:space="preserve">Se descuenta del salario del empleado y la empresa lo paga junto con su parte (8.5%) a la EPS.</t>
  </si>
  <si>
    <t xml:space="preserve">Pensión — aporte empleado (4%)</t>
  </si>
  <si>
    <t xml:space="preserve">Se descuenta del salario y va al fondo de pensiones del trabajador. Junto con el 12% del empleador = 16% total.</t>
  </si>
  <si>
    <t xml:space="preserve">SALARIO NETO QUE RECIBE EL EMPLEADO</t>
  </si>
  <si>
    <t xml:space="preserve">Lo que realmente llega al bolsillo del empleado cada mes. = Salario + auxilio transporte − descuentos de salud y pensión.</t>
  </si>
  <si>
    <t xml:space="preserve">🔢  TABLA DE REFERENCIA — COSTO TOTAL SEGÚN SALARIO (Clase de Riesgo I · Sin exoneración SENA/ICBF)</t>
  </si>
  <si>
    <t xml:space="preserve">Salario pactado</t>
  </si>
  <si>
    <t xml:space="preserve">Auxilio transporte</t>
  </si>
  <si>
    <t xml:space="preserve">Costo total empresa/mes</t>
  </si>
  <si>
    <t xml:space="preserve">Factor</t>
  </si>
  <si>
    <t xml:space="preserve">$1,423,500  (SMMLV 2025)</t>
  </si>
  <si>
    <t xml:space="preserve">1.67x</t>
  </si>
  <si>
    <t xml:space="preserve">$2,000,000  (Técnico / auxiliar)</t>
  </si>
  <si>
    <t xml:space="preserve">1.61x</t>
  </si>
  <si>
    <t xml:space="preserve">$3,000,000  (Profesional junior)</t>
  </si>
  <si>
    <t xml:space="preserve">1.56x</t>
  </si>
  <si>
    <t xml:space="preserve">$4,000,000  (Profesional medio)</t>
  </si>
  <si>
    <t xml:space="preserve">1.48x</t>
  </si>
  <si>
    <t xml:space="preserve">$5,000,000  (Profesional senior)</t>
  </si>
  <si>
    <t xml:space="preserve">$7,000,000  (Especialista)</t>
  </si>
  <si>
    <t xml:space="preserve">1.47x</t>
  </si>
  <si>
    <t xml:space="preserve">$10,000,000  (Senior / Líder)</t>
  </si>
  <si>
    <t xml:space="preserve">$15,000,000  (Director)</t>
  </si>
  <si>
    <t xml:space="preserve">⚠️  Esta calculadora es orientativa. Para la liquidación oficial coordina con tu contador certificado. Valores basados en normativa colombiana vigente 2025.</t>
  </si>
  <si>
    <t xml:space="preserve">GUÍA LEGAL — NÓMINA EN COLOMBIA 2025</t>
  </si>
  <si>
    <t xml:space="preserve">📅  CALENDARIO DE PAGOS OBLIGATORIOS</t>
  </si>
  <si>
    <t xml:space="preserve">  Cada 30 días   →  Nómina (salario + auxilio transporte)</t>
  </si>
  <si>
    <t xml:space="preserve">  Cada 30 días   →  Seguridad social (salud + pensión + ARL) — se paga a más tardar el 17 del mes siguiente</t>
  </si>
  <si>
    <t xml:space="preserve">  Cada 30 días   →  Parafiscales (CCF, SENA si aplica, ICBF si aplica)</t>
  </si>
  <si>
    <t xml:space="preserve">  Junio 30       →  Primera cuota de prima de servicios (6 meses de trabajo)</t>
  </si>
  <si>
    <t xml:space="preserve">  Diciembre 20   →  Segunda cuota de prima de servicios</t>
  </si>
  <si>
    <t xml:space="preserve">  Hasta Feb 14   →  Consignación de cesantías al fondo de pensiones del año anterior</t>
  </si>
  <si>
    <t xml:space="preserve">  Hasta Ene 31   →  Pago de intereses sobre cesantías directamente al trabajador (12% anual)</t>
  </si>
  <si>
    <t xml:space="preserve">  Abril/Ago/Dic  →  Dotación (calzado + vestido de labor, para salarios ≤ 2 SMMLV)</t>
  </si>
  <si>
    <t xml:space="preserve">⚠️  LO QUE MÁS OLVIDAN LOS NUEVOS EMPLEADORES</t>
  </si>
  <si>
    <t xml:space="preserve">  1. Las prestaciones NO se pagan mensualmente pero SÍ debes provisionarlas. Aparta el dinero.</t>
  </si>
  <si>
    <t xml:space="preserve">  2. El empleado te descuenta retefuente si su salario supera cierto umbral — consulta con tu contador.</t>
  </si>
  <si>
    <t xml:space="preserve">  3. El primer mes de trabajo genera todas las prestaciones de forma proporcional desde el día 1.</t>
  </si>
  <si>
    <t xml:space="preserve">  4. Si terminas el contrato sin justa causa, pagas indemnización (art. 64 CST).</t>
  </si>
  <si>
    <t xml:space="preserve">  5. El contrato a término indefinido NO tiene fecha de vencimiento — tienes que liquidar con justa causa.</t>
  </si>
  <si>
    <t xml:space="preserve">  6. El período de prueba máximo es 2 meses. Durante ese tiempo puedes terminar sin indemnización.</t>
  </si>
  <si>
    <t xml:space="preserve">📋  DOCUMENTOS QUE DEBES TENER AL DÍA</t>
  </si>
  <si>
    <t xml:space="preserve">  ☐ Contrato de trabajo firmado (físico o digital con firma electrónica válida)</t>
  </si>
  <si>
    <t xml:space="preserve">  ☐ Afiliación a EPS (escoge el empleado, la empresa hace el trámite)</t>
  </si>
  <si>
    <t xml:space="preserve">  ☐ Afiliación a fondo de pensiones (escoge el empleado)</t>
  </si>
  <si>
    <t xml:space="preserve">  ☐ Afiliación a ARL (la empresa la elige)</t>
  </si>
  <si>
    <t xml:space="preserve">  ☐ Afiliación a Caja de Compensación Familiar</t>
  </si>
  <si>
    <t xml:space="preserve">  ☐ Afiliación a fondo de cesantías (escoge el empleado)</t>
  </si>
  <si>
    <t xml:space="preserve">  ☐ Registro en el sistema de Planilla Integrada de Liquidación de Aportes — PILA</t>
  </si>
  <si>
    <t xml:space="preserve">💡  HERRAMIENTAS RECOMENDADAS</t>
  </si>
  <si>
    <t xml:space="preserve">  • Nominapp / Siigo Nómina / Alegra Nómina — software de nómina para PyMEs colombianas</t>
  </si>
  <si>
    <t xml:space="preserve">  • PILA — planilla única de aportes, la usas para pagar SS y parafiscales cada mes</t>
  </si>
  <si>
    <t xml:space="preserve">  • Mi Planilla — operador autorizado para pagar aportes en línea</t>
  </si>
  <si>
    <t xml:space="preserve">⚖️  BASE LEGAL</t>
  </si>
  <si>
    <t xml:space="preserve">  • Código Sustantivo del Trabajo (CST) — artículos 127, 128, 249, 306, 186</t>
  </si>
  <si>
    <t xml:space="preserve">  • Ley 1607/2012 — exoneración de SENA e ICBF para SAS con salarios ≤ 10 SMMLV</t>
  </si>
  <si>
    <t xml:space="preserve">  • Decreto 2353/2015 — afiliación al sistema de seguridad social</t>
  </si>
  <si>
    <t xml:space="preserve">  • Decreto único reglamentario del sector trabajo 1072/2015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</si>
</sst>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0%;\(0.00%\);\-"/>
    <numFmt numFmtId="167" formatCode="@"/>
    <numFmt numFmtId="168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E8449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i val="true"/>
      <sz val="9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i val="true"/>
      <sz val="9"/>
      <color rgb="FF8B4000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2E5DA6"/>
        <bgColor rgb="FF3366FF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FFF9E6"/>
      </patternFill>
    </fill>
    <fill>
      <patternFill patternType="solid">
        <fgColor rgb="FFFFF2CC"/>
        <bgColor rgb="FFFFF9E6"/>
      </patternFill>
    </fill>
    <fill>
      <patternFill patternType="solid">
        <fgColor rgb="FFFFFFFF"/>
        <bgColor rgb="FFFFF9E6"/>
      </patternFill>
    </fill>
    <fill>
      <patternFill patternType="solid">
        <fgColor rgb="FFE2EFDA"/>
        <bgColor rgb="FFDEEAF1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6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6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8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5" fontId="19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9E6"/>
      <rgbColor rgb="FFDEEAF1"/>
      <rgbColor rgb="FF660066"/>
      <rgbColor rgb="FFFF8080"/>
      <rgbColor rgb="FF2E5DA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003300"/>
      <rgbColor rgb="FF333300"/>
      <rgbColor rgb="FF8B40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D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20"/>
    <col collapsed="false" customWidth="true" hidden="false" outlineLevel="0" max="4" min="4" style="1" width="38"/>
  </cols>
  <sheetData>
    <row r="1" customFormat="false" ht="31.5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true" outlineLevel="0" collapsed="false">
      <c r="A2" s="3" t="s">
        <v>1</v>
      </c>
      <c r="B2" s="3"/>
      <c r="C2" s="3"/>
      <c r="D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9.5" hidden="false" customHeight="true" outlineLevel="0" collapsed="false">
      <c r="A4" s="5" t="s">
        <v>6</v>
      </c>
      <c r="B4" s="5"/>
      <c r="C4" s="5"/>
      <c r="D4" s="5"/>
    </row>
    <row r="5" customFormat="false" ht="18" hidden="false" customHeight="true" outlineLevel="0" collapsed="false">
      <c r="A5" s="6" t="s">
        <v>7</v>
      </c>
      <c r="B5" s="7" t="n">
        <v>3000000</v>
      </c>
      <c r="C5" s="8" t="n">
        <f aca="false">B5</f>
        <v>3000000</v>
      </c>
      <c r="D5" s="9" t="s">
        <v>8</v>
      </c>
    </row>
    <row r="6" customFormat="false" ht="18" hidden="false" customHeight="true" outlineLevel="0" collapsed="false">
      <c r="A6" s="6" t="s">
        <v>9</v>
      </c>
      <c r="B6" s="7" t="n">
        <v>200000</v>
      </c>
      <c r="C6" s="8" t="n">
        <f aca="false">B6</f>
        <v>200000</v>
      </c>
      <c r="D6" s="9" t="s">
        <v>10</v>
      </c>
    </row>
    <row r="7" customFormat="false" ht="18" hidden="false" customHeight="true" outlineLevel="0" collapsed="false">
      <c r="A7" s="6" t="s">
        <v>11</v>
      </c>
      <c r="B7" s="7" t="n">
        <v>0</v>
      </c>
      <c r="C7" s="8" t="n">
        <f aca="false">B7</f>
        <v>0</v>
      </c>
      <c r="D7" s="9" t="s">
        <v>12</v>
      </c>
    </row>
    <row r="8" customFormat="false" ht="18" hidden="false" customHeight="true" outlineLevel="0" collapsed="false">
      <c r="A8" s="10" t="s">
        <v>13</v>
      </c>
      <c r="C8" s="11" t="n">
        <f aca="false">C5+C7</f>
        <v>3000000</v>
      </c>
      <c r="D8" s="9" t="s">
        <v>14</v>
      </c>
    </row>
    <row r="9" customFormat="false" ht="18" hidden="false" customHeight="true" outlineLevel="0" collapsed="false">
      <c r="A9" s="12" t="s">
        <v>15</v>
      </c>
      <c r="C9" s="13" t="n">
        <f aca="false">C8</f>
        <v>3000000</v>
      </c>
      <c r="D9" s="9" t="s">
        <v>16</v>
      </c>
    </row>
    <row r="11" customFormat="false" ht="19.5" hidden="false" customHeight="true" outlineLevel="0" collapsed="false">
      <c r="A11" s="5" t="s">
        <v>17</v>
      </c>
      <c r="B11" s="5"/>
      <c r="C11" s="5"/>
      <c r="D11" s="5"/>
    </row>
    <row r="12" customFormat="false" ht="18" hidden="false" customHeight="true" outlineLevel="0" collapsed="false">
      <c r="A12" s="14" t="s">
        <v>18</v>
      </c>
      <c r="B12" s="15" t="n">
        <f aca="false">8.5%</f>
        <v>0.085</v>
      </c>
      <c r="C12" s="16" t="n">
        <f aca="false">C9*8.5%</f>
        <v>255000</v>
      </c>
      <c r="D12" s="9" t="s">
        <v>19</v>
      </c>
    </row>
    <row r="13" customFormat="false" ht="18" hidden="false" customHeight="true" outlineLevel="0" collapsed="false">
      <c r="A13" s="14" t="s">
        <v>20</v>
      </c>
      <c r="B13" s="15" t="n">
        <f aca="false">12%</f>
        <v>0.12</v>
      </c>
      <c r="C13" s="16" t="n">
        <f aca="false">C9*12%</f>
        <v>360000</v>
      </c>
      <c r="D13" s="9" t="s">
        <v>21</v>
      </c>
    </row>
    <row r="14" customFormat="false" ht="18" hidden="false" customHeight="true" outlineLevel="0" collapsed="false">
      <c r="A14" s="6" t="s">
        <v>22</v>
      </c>
      <c r="B14" s="17" t="n">
        <v>0.00522</v>
      </c>
      <c r="D14" s="9" t="s">
        <v>23</v>
      </c>
    </row>
    <row r="15" customFormat="false" ht="18" hidden="false" customHeight="true" outlineLevel="0" collapsed="false">
      <c r="A15" s="14" t="s">
        <v>24</v>
      </c>
      <c r="C15" s="16" t="n">
        <f aca="false">C9*B14</f>
        <v>15660</v>
      </c>
      <c r="D15" s="9" t="s">
        <v>25</v>
      </c>
    </row>
    <row r="16" customFormat="false" ht="18" hidden="false" customHeight="true" outlineLevel="0" collapsed="false">
      <c r="A16" s="14" t="s">
        <v>26</v>
      </c>
      <c r="B16" s="15" t="n">
        <f aca="false">4%</f>
        <v>0.04</v>
      </c>
      <c r="C16" s="16" t="n">
        <f aca="false">C9*4%</f>
        <v>120000</v>
      </c>
      <c r="D16" s="9" t="s">
        <v>27</v>
      </c>
    </row>
    <row r="17" customFormat="false" ht="18" hidden="false" customHeight="true" outlineLevel="0" collapsed="false">
      <c r="A17" s="6" t="s">
        <v>28</v>
      </c>
      <c r="B17" s="18" t="s">
        <v>29</v>
      </c>
      <c r="C17" s="8" t="str">
        <f aca="false">B17</f>
        <v>NO</v>
      </c>
      <c r="D17" s="9" t="s">
        <v>30</v>
      </c>
    </row>
    <row r="18" customFormat="false" ht="18" hidden="false" customHeight="true" outlineLevel="0" collapsed="false">
      <c r="A18" s="14" t="s">
        <v>31</v>
      </c>
      <c r="B18" s="15" t="n">
        <f aca="false">2%</f>
        <v>0.02</v>
      </c>
      <c r="C18" s="16" t="n">
        <f aca="false">IF(UPPER(B17)="SI",C9*2%,0)</f>
        <v>0</v>
      </c>
      <c r="D18" s="9" t="s">
        <v>32</v>
      </c>
    </row>
    <row r="19" customFormat="false" ht="18" hidden="false" customHeight="true" outlineLevel="0" collapsed="false">
      <c r="A19" s="14" t="s">
        <v>33</v>
      </c>
      <c r="B19" s="15" t="n">
        <f aca="false">3%</f>
        <v>0.03</v>
      </c>
      <c r="C19" s="16" t="n">
        <f aca="false">IF(UPPER(B17)="SI",C9*3%,0)</f>
        <v>0</v>
      </c>
      <c r="D19" s="9" t="s">
        <v>34</v>
      </c>
    </row>
    <row r="20" customFormat="false" ht="18" hidden="false" customHeight="true" outlineLevel="0" collapsed="false">
      <c r="A20" s="10" t="s">
        <v>35</v>
      </c>
      <c r="C20" s="11" t="n">
        <f aca="false">C12+C13+C15+C16+C18+C19</f>
        <v>750660</v>
      </c>
      <c r="D20" s="9" t="s">
        <v>36</v>
      </c>
    </row>
    <row r="22" customFormat="false" ht="19.5" hidden="false" customHeight="true" outlineLevel="0" collapsed="false">
      <c r="A22" s="5" t="s">
        <v>37</v>
      </c>
      <c r="B22" s="5"/>
      <c r="C22" s="5"/>
      <c r="D22" s="5"/>
    </row>
    <row r="23" customFormat="false" ht="18" hidden="false" customHeight="true" outlineLevel="0" collapsed="false">
      <c r="A23" s="14" t="s">
        <v>38</v>
      </c>
      <c r="B23" s="15" t="n">
        <f aca="false">8.33%</f>
        <v>0.0833</v>
      </c>
      <c r="C23" s="16" t="n">
        <f aca="false">(C8+C6)*8.33%</f>
        <v>266560</v>
      </c>
      <c r="D23" s="9" t="s">
        <v>39</v>
      </c>
    </row>
    <row r="24" customFormat="false" ht="18" hidden="false" customHeight="true" outlineLevel="0" collapsed="false">
      <c r="A24" s="14" t="s">
        <v>40</v>
      </c>
      <c r="B24" s="15" t="n">
        <f aca="false">8.33%</f>
        <v>0.0833</v>
      </c>
      <c r="C24" s="16" t="n">
        <f aca="false">(C8+C6)*8.33%</f>
        <v>266560</v>
      </c>
      <c r="D24" s="9" t="s">
        <v>41</v>
      </c>
    </row>
    <row r="25" customFormat="false" ht="18" hidden="false" customHeight="true" outlineLevel="0" collapsed="false">
      <c r="A25" s="14" t="s">
        <v>42</v>
      </c>
      <c r="B25" s="15" t="n">
        <f aca="false">1%</f>
        <v>0.01</v>
      </c>
      <c r="C25" s="16" t="n">
        <f aca="false">C24*12%</f>
        <v>31987.2</v>
      </c>
      <c r="D25" s="9" t="s">
        <v>43</v>
      </c>
    </row>
    <row r="26" customFormat="false" ht="18" hidden="false" customHeight="true" outlineLevel="0" collapsed="false">
      <c r="A26" s="14" t="s">
        <v>44</v>
      </c>
      <c r="B26" s="15" t="n">
        <f aca="false">4.17%</f>
        <v>0.0417</v>
      </c>
      <c r="C26" s="16" t="n">
        <f aca="false">C8*4.17%</f>
        <v>125100</v>
      </c>
      <c r="D26" s="9" t="s">
        <v>45</v>
      </c>
    </row>
    <row r="27" customFormat="false" ht="18" hidden="false" customHeight="true" outlineLevel="0" collapsed="false">
      <c r="A27" s="10" t="s">
        <v>46</v>
      </c>
      <c r="C27" s="11" t="n">
        <f aca="false">C23+C24+C25+C26</f>
        <v>690207.2</v>
      </c>
      <c r="D27" s="9" t="s">
        <v>47</v>
      </c>
    </row>
    <row r="29" customFormat="false" ht="19.5" hidden="false" customHeight="true" outlineLevel="0" collapsed="false">
      <c r="A29" s="5" t="s">
        <v>48</v>
      </c>
      <c r="B29" s="5"/>
      <c r="C29" s="5"/>
      <c r="D29" s="5"/>
    </row>
    <row r="30" customFormat="false" ht="18" hidden="false" customHeight="true" outlineLevel="0" collapsed="false">
      <c r="A30" s="6" t="s">
        <v>49</v>
      </c>
      <c r="B30" s="7" t="n">
        <v>600000</v>
      </c>
      <c r="C30" s="8" t="n">
        <f aca="false">B30</f>
        <v>600000</v>
      </c>
      <c r="D30" s="9" t="s">
        <v>50</v>
      </c>
    </row>
    <row r="31" customFormat="false" ht="18" hidden="false" customHeight="true" outlineLevel="0" collapsed="false">
      <c r="A31" s="14" t="s">
        <v>51</v>
      </c>
      <c r="C31" s="16" t="n">
        <f aca="false">C30/12</f>
        <v>50000</v>
      </c>
      <c r="D31" s="9" t="s">
        <v>52</v>
      </c>
    </row>
    <row r="33" customFormat="false" ht="21.75" hidden="false" customHeight="true" outlineLevel="0" collapsed="false">
      <c r="A33" s="19" t="s">
        <v>53</v>
      </c>
      <c r="B33" s="19"/>
      <c r="C33" s="19"/>
      <c r="D33" s="19"/>
    </row>
    <row r="34" customFormat="false" ht="18" hidden="false" customHeight="true" outlineLevel="0" collapsed="false">
      <c r="A34" s="20" t="s">
        <v>54</v>
      </c>
      <c r="B34" s="21" t="n">
        <f aca="false">C8/C8</f>
        <v>1</v>
      </c>
      <c r="C34" s="8" t="n">
        <f aca="false">C8</f>
        <v>3000000</v>
      </c>
    </row>
    <row r="35" customFormat="false" ht="18" hidden="false" customHeight="true" outlineLevel="0" collapsed="false">
      <c r="A35" s="20" t="s">
        <v>55</v>
      </c>
      <c r="B35" s="21" t="n">
        <f aca="false">C6/C8</f>
        <v>0.0666666666666667</v>
      </c>
      <c r="C35" s="8" t="n">
        <f aca="false">C6</f>
        <v>200000</v>
      </c>
    </row>
    <row r="36" customFormat="false" ht="18" hidden="false" customHeight="true" outlineLevel="0" collapsed="false">
      <c r="A36" s="20" t="s">
        <v>56</v>
      </c>
      <c r="B36" s="21" t="n">
        <f aca="false">C20/C8</f>
        <v>0.25022</v>
      </c>
      <c r="C36" s="8" t="n">
        <f aca="false">C20</f>
        <v>750660</v>
      </c>
    </row>
    <row r="37" customFormat="false" ht="18" hidden="false" customHeight="true" outlineLevel="0" collapsed="false">
      <c r="A37" s="20" t="s">
        <v>57</v>
      </c>
      <c r="B37" s="21" t="n">
        <f aca="false">C27/C8</f>
        <v>0.230069066666667</v>
      </c>
      <c r="C37" s="8" t="n">
        <f aca="false">C27</f>
        <v>690207.2</v>
      </c>
    </row>
    <row r="38" customFormat="false" ht="18" hidden="false" customHeight="true" outlineLevel="0" collapsed="false">
      <c r="A38" s="20" t="s">
        <v>58</v>
      </c>
      <c r="B38" s="21" t="n">
        <f aca="false">C31/C8</f>
        <v>0.0166666666666667</v>
      </c>
      <c r="C38" s="8" t="n">
        <f aca="false">C31</f>
        <v>50000</v>
      </c>
    </row>
    <row r="39" customFormat="false" ht="27.75" hidden="false" customHeight="true" outlineLevel="0" collapsed="false">
      <c r="A39" s="22" t="s">
        <v>59</v>
      </c>
      <c r="B39" s="23" t="n">
        <f aca="false">C39/C8</f>
        <v>1.5636224</v>
      </c>
      <c r="C39" s="24" t="n">
        <f aca="false">C34+C35+C36+C37+C38</f>
        <v>4690867.2</v>
      </c>
    </row>
    <row r="40" customFormat="false" ht="21.75" hidden="false" customHeight="true" outlineLevel="0" collapsed="false">
      <c r="A40" s="25" t="s">
        <v>60</v>
      </c>
      <c r="C40" s="26" t="n">
        <f aca="false">C39/C8</f>
        <v>1.5636224</v>
      </c>
      <c r="D40" s="27" t="s">
        <v>61</v>
      </c>
    </row>
    <row r="42" customFormat="false" ht="19.5" hidden="false" customHeight="true" outlineLevel="0" collapsed="false">
      <c r="A42" s="5" t="s">
        <v>62</v>
      </c>
      <c r="B42" s="5"/>
      <c r="C42" s="5"/>
      <c r="D42" s="5"/>
    </row>
    <row r="43" customFormat="false" ht="18" hidden="false" customHeight="true" outlineLevel="0" collapsed="false">
      <c r="A43" s="14" t="s">
        <v>63</v>
      </c>
      <c r="B43" s="15" t="n">
        <f aca="false">4%</f>
        <v>0.04</v>
      </c>
      <c r="C43" s="16" t="n">
        <f aca="false">C9*4%</f>
        <v>120000</v>
      </c>
      <c r="D43" s="9" t="s">
        <v>64</v>
      </c>
    </row>
    <row r="44" customFormat="false" ht="18" hidden="false" customHeight="true" outlineLevel="0" collapsed="false">
      <c r="A44" s="14" t="s">
        <v>65</v>
      </c>
      <c r="B44" s="15" t="n">
        <f aca="false">4%</f>
        <v>0.04</v>
      </c>
      <c r="C44" s="16" t="n">
        <f aca="false">C9*4%</f>
        <v>120000</v>
      </c>
      <c r="D44" s="9" t="s">
        <v>66</v>
      </c>
    </row>
    <row r="45" customFormat="false" ht="18" hidden="false" customHeight="true" outlineLevel="0" collapsed="false">
      <c r="A45" s="28" t="s">
        <v>67</v>
      </c>
      <c r="C45" s="29" t="n">
        <f aca="false">C8+C6-C9*4%-C9*4%</f>
        <v>2960000</v>
      </c>
      <c r="D45" s="9" t="s">
        <v>68</v>
      </c>
    </row>
    <row r="47" customFormat="false" ht="19.5" hidden="false" customHeight="true" outlineLevel="0" collapsed="false">
      <c r="A47" s="5" t="s">
        <v>69</v>
      </c>
      <c r="B47" s="5"/>
      <c r="C47" s="5"/>
      <c r="D47" s="5"/>
    </row>
    <row r="48" customFormat="false" ht="19.5" hidden="false" customHeight="true" outlineLevel="0" collapsed="false">
      <c r="A48" s="30" t="s">
        <v>70</v>
      </c>
      <c r="B48" s="30" t="s">
        <v>71</v>
      </c>
      <c r="C48" s="30" t="s">
        <v>72</v>
      </c>
      <c r="D48" s="30" t="s">
        <v>73</v>
      </c>
    </row>
    <row r="49" customFormat="false" ht="18" hidden="false" customHeight="true" outlineLevel="0" collapsed="false">
      <c r="A49" s="31" t="s">
        <v>74</v>
      </c>
      <c r="B49" s="32" t="n">
        <v>200000</v>
      </c>
      <c r="C49" s="33" t="n">
        <v>2371000</v>
      </c>
      <c r="D49" s="34" t="s">
        <v>75</v>
      </c>
    </row>
    <row r="50" customFormat="false" ht="18" hidden="false" customHeight="true" outlineLevel="0" collapsed="false">
      <c r="A50" s="35" t="s">
        <v>76</v>
      </c>
      <c r="B50" s="36" t="n">
        <v>200000</v>
      </c>
      <c r="C50" s="33" t="n">
        <v>3216000</v>
      </c>
      <c r="D50" s="37" t="s">
        <v>77</v>
      </c>
    </row>
    <row r="51" customFormat="false" ht="18" hidden="false" customHeight="true" outlineLevel="0" collapsed="false">
      <c r="A51" s="31" t="s">
        <v>78</v>
      </c>
      <c r="B51" s="32" t="n">
        <v>200000</v>
      </c>
      <c r="C51" s="33" t="n">
        <v>4682000</v>
      </c>
      <c r="D51" s="34" t="s">
        <v>79</v>
      </c>
    </row>
    <row r="52" customFormat="false" ht="18" hidden="false" customHeight="true" outlineLevel="0" collapsed="false">
      <c r="A52" s="35" t="s">
        <v>80</v>
      </c>
      <c r="B52" s="36" t="n">
        <v>0</v>
      </c>
      <c r="C52" s="33" t="n">
        <v>5915000</v>
      </c>
      <c r="D52" s="37" t="s">
        <v>81</v>
      </c>
    </row>
    <row r="53" customFormat="false" ht="18" hidden="false" customHeight="true" outlineLevel="0" collapsed="false">
      <c r="A53" s="31" t="s">
        <v>82</v>
      </c>
      <c r="B53" s="32" t="n">
        <v>0</v>
      </c>
      <c r="C53" s="33" t="n">
        <v>7381000</v>
      </c>
      <c r="D53" s="34" t="s">
        <v>81</v>
      </c>
    </row>
    <row r="54" customFormat="false" ht="18" hidden="false" customHeight="true" outlineLevel="0" collapsed="false">
      <c r="A54" s="35" t="s">
        <v>83</v>
      </c>
      <c r="B54" s="36" t="n">
        <v>0</v>
      </c>
      <c r="C54" s="33" t="n">
        <v>10314000</v>
      </c>
      <c r="D54" s="37" t="s">
        <v>84</v>
      </c>
    </row>
    <row r="55" customFormat="false" ht="18" hidden="false" customHeight="true" outlineLevel="0" collapsed="false">
      <c r="A55" s="31" t="s">
        <v>85</v>
      </c>
      <c r="B55" s="32" t="n">
        <v>0</v>
      </c>
      <c r="C55" s="33" t="n">
        <v>14713000</v>
      </c>
      <c r="D55" s="34" t="s">
        <v>84</v>
      </c>
    </row>
    <row r="56" customFormat="false" ht="18" hidden="false" customHeight="true" outlineLevel="0" collapsed="false">
      <c r="A56" s="35" t="s">
        <v>86</v>
      </c>
      <c r="B56" s="36" t="n">
        <v>0</v>
      </c>
      <c r="C56" s="33" t="n">
        <v>22044000</v>
      </c>
      <c r="D56" s="37" t="s">
        <v>84</v>
      </c>
    </row>
    <row r="58" customFormat="false" ht="19.5" hidden="false" customHeight="true" outlineLevel="0" collapsed="false">
      <c r="A58" s="38" t="s">
        <v>87</v>
      </c>
      <c r="B58" s="38"/>
      <c r="C58" s="38"/>
      <c r="D58" s="38"/>
    </row>
  </sheetData>
  <mergeCells count="10">
    <mergeCell ref="A1:D1"/>
    <mergeCell ref="A2:D2"/>
    <mergeCell ref="A4:D4"/>
    <mergeCell ref="A11:D11"/>
    <mergeCell ref="A22:D22"/>
    <mergeCell ref="A29:D29"/>
    <mergeCell ref="A33:D33"/>
    <mergeCell ref="A42:D42"/>
    <mergeCell ref="A47:D47"/>
    <mergeCell ref="A58:D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27.75" hidden="false" customHeight="true" outlineLevel="0" collapsed="false">
      <c r="A1" s="39" t="s">
        <v>88</v>
      </c>
    </row>
    <row r="2" customFormat="false" ht="7.5" hidden="false" customHeight="true" outlineLevel="0" collapsed="false"/>
    <row r="3" customFormat="false" ht="19.5" hidden="false" customHeight="true" outlineLevel="0" collapsed="false">
      <c r="A3" s="40" t="s">
        <v>89</v>
      </c>
    </row>
    <row r="4" customFormat="false" ht="15.75" hidden="false" customHeight="true" outlineLevel="0" collapsed="false">
      <c r="A4" s="41" t="s">
        <v>90</v>
      </c>
    </row>
    <row r="5" customFormat="false" ht="15.75" hidden="false" customHeight="true" outlineLevel="0" collapsed="false">
      <c r="A5" s="42" t="s">
        <v>91</v>
      </c>
    </row>
    <row r="6" customFormat="false" ht="15.75" hidden="false" customHeight="true" outlineLevel="0" collapsed="false">
      <c r="A6" s="41" t="s">
        <v>92</v>
      </c>
    </row>
    <row r="7" customFormat="false" ht="15.75" hidden="false" customHeight="true" outlineLevel="0" collapsed="false">
      <c r="A7" s="42" t="s">
        <v>93</v>
      </c>
    </row>
    <row r="8" customFormat="false" ht="15.75" hidden="false" customHeight="true" outlineLevel="0" collapsed="false">
      <c r="A8" s="41" t="s">
        <v>94</v>
      </c>
    </row>
    <row r="9" customFormat="false" ht="15.75" hidden="false" customHeight="true" outlineLevel="0" collapsed="false">
      <c r="A9" s="42" t="s">
        <v>95</v>
      </c>
    </row>
    <row r="10" customFormat="false" ht="15.75" hidden="false" customHeight="true" outlineLevel="0" collapsed="false">
      <c r="A10" s="41" t="s">
        <v>96</v>
      </c>
    </row>
    <row r="11" customFormat="false" ht="15.75" hidden="false" customHeight="true" outlineLevel="0" collapsed="false">
      <c r="A11" s="42" t="s">
        <v>97</v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40" t="s">
        <v>98</v>
      </c>
    </row>
    <row r="14" customFormat="false" ht="15.75" hidden="false" customHeight="true" outlineLevel="0" collapsed="false">
      <c r="A14" s="41" t="s">
        <v>99</v>
      </c>
    </row>
    <row r="15" customFormat="false" ht="15.75" hidden="false" customHeight="true" outlineLevel="0" collapsed="false">
      <c r="A15" s="42" t="s">
        <v>100</v>
      </c>
    </row>
    <row r="16" customFormat="false" ht="15.75" hidden="false" customHeight="true" outlineLevel="0" collapsed="false">
      <c r="A16" s="41" t="s">
        <v>101</v>
      </c>
    </row>
    <row r="17" customFormat="false" ht="15.75" hidden="false" customHeight="true" outlineLevel="0" collapsed="false">
      <c r="A17" s="42" t="s">
        <v>102</v>
      </c>
    </row>
    <row r="18" customFormat="false" ht="15.75" hidden="false" customHeight="true" outlineLevel="0" collapsed="false">
      <c r="A18" s="41" t="s">
        <v>103</v>
      </c>
    </row>
    <row r="19" customFormat="false" ht="15.75" hidden="false" customHeight="true" outlineLevel="0" collapsed="false">
      <c r="A19" s="42" t="s">
        <v>104</v>
      </c>
    </row>
    <row r="20" customFormat="false" ht="7.5" hidden="false" customHeight="true" outlineLevel="0" collapsed="false"/>
    <row r="21" customFormat="false" ht="19.5" hidden="false" customHeight="true" outlineLevel="0" collapsed="false">
      <c r="A21" s="40" t="s">
        <v>105</v>
      </c>
    </row>
    <row r="22" customFormat="false" ht="15.75" hidden="false" customHeight="true" outlineLevel="0" collapsed="false">
      <c r="A22" s="41" t="s">
        <v>106</v>
      </c>
    </row>
    <row r="23" customFormat="false" ht="15.75" hidden="false" customHeight="true" outlineLevel="0" collapsed="false">
      <c r="A23" s="42" t="s">
        <v>107</v>
      </c>
    </row>
    <row r="24" customFormat="false" ht="15.75" hidden="false" customHeight="true" outlineLevel="0" collapsed="false">
      <c r="A24" s="41" t="s">
        <v>108</v>
      </c>
    </row>
    <row r="25" customFormat="false" ht="15.75" hidden="false" customHeight="true" outlineLevel="0" collapsed="false">
      <c r="A25" s="42" t="s">
        <v>109</v>
      </c>
    </row>
    <row r="26" customFormat="false" ht="15.75" hidden="false" customHeight="true" outlineLevel="0" collapsed="false">
      <c r="A26" s="41" t="s">
        <v>110</v>
      </c>
    </row>
    <row r="27" customFormat="false" ht="15.75" hidden="false" customHeight="true" outlineLevel="0" collapsed="false">
      <c r="A27" s="42" t="s">
        <v>111</v>
      </c>
    </row>
    <row r="28" customFormat="false" ht="15.75" hidden="false" customHeight="true" outlineLevel="0" collapsed="false">
      <c r="A28" s="41" t="s">
        <v>112</v>
      </c>
    </row>
    <row r="29" customFormat="false" ht="7.5" hidden="false" customHeight="true" outlineLevel="0" collapsed="false"/>
    <row r="30" customFormat="false" ht="19.5" hidden="false" customHeight="true" outlineLevel="0" collapsed="false">
      <c r="A30" s="40" t="s">
        <v>113</v>
      </c>
    </row>
    <row r="31" customFormat="false" ht="15.75" hidden="false" customHeight="true" outlineLevel="0" collapsed="false">
      <c r="A31" s="42" t="s">
        <v>114</v>
      </c>
    </row>
    <row r="32" customFormat="false" ht="15.75" hidden="false" customHeight="true" outlineLevel="0" collapsed="false">
      <c r="A32" s="41" t="s">
        <v>115</v>
      </c>
    </row>
    <row r="33" customFormat="false" ht="15.75" hidden="false" customHeight="true" outlineLevel="0" collapsed="false">
      <c r="A33" s="42" t="s">
        <v>116</v>
      </c>
    </row>
    <row r="34" customFormat="false" ht="7.5" hidden="false" customHeight="true" outlineLevel="0" collapsed="false"/>
    <row r="35" customFormat="false" ht="19.5" hidden="false" customHeight="true" outlineLevel="0" collapsed="false">
      <c r="A35" s="40" t="s">
        <v>117</v>
      </c>
    </row>
    <row r="36" customFormat="false" ht="15.75" hidden="false" customHeight="true" outlineLevel="0" collapsed="false">
      <c r="A36" s="41" t="s">
        <v>118</v>
      </c>
    </row>
    <row r="37" customFormat="false" ht="15.75" hidden="false" customHeight="true" outlineLevel="0" collapsed="false">
      <c r="A37" s="42" t="s">
        <v>119</v>
      </c>
    </row>
    <row r="38" customFormat="false" ht="15.75" hidden="false" customHeight="true" outlineLevel="0" collapsed="false">
      <c r="A38" s="41" t="s">
        <v>120</v>
      </c>
    </row>
    <row r="39" customFormat="false" ht="15.75" hidden="false" customHeight="true" outlineLevel="0" collapsed="false">
      <c r="A39" s="4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2026-04-01T01:42:42Z</dcterms:created>
  <dc:creator>openpyxl</dc:creator>
  <dc:description/>
  <dc:language>en-US</dc:language>
  <cp:lastModifiedBy/>
  <dcterms:modified xsi:type="dcterms:W3CDTF">2026-04-01T01:42:59Z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